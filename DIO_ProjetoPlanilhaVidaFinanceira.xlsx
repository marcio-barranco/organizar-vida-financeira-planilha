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55aa78beefe697/Documentos/"/>
    </mc:Choice>
  </mc:AlternateContent>
  <xr:revisionPtr revIDLastSave="5" documentId="8_{16C82087-12AD-4EC0-8973-1D86B0DBE4D0}" xr6:coauthVersionLast="47" xr6:coauthVersionMax="47" xr10:uidLastSave="{737F2BF5-D9B6-45F6-B1B1-61FF23AA6DE0}"/>
  <bookViews>
    <workbookView xWindow="-108" yWindow="-108" windowWidth="23256" windowHeight="12456" tabRatio="562" activeTab="3" xr2:uid="{F115BCA3-7DB6-4838-B40B-1E15ABBB57AE}"/>
  </bookViews>
  <sheets>
    <sheet name="Data" sheetId="1" r:id="rId1"/>
    <sheet name="Controller" sheetId="2" r:id="rId2"/>
    <sheet name="Caixinha" sheetId="4" r:id="rId3"/>
    <sheet name="Dashboard" sheetId="3" r:id="rId4"/>
  </sheets>
  <definedNames>
    <definedName name="SegmentaçãodeDados_Mês1">#N/A</definedName>
  </definedNames>
  <calcPr calcId="191029"/>
  <pivotCaches>
    <pivotCache cacheId="29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4" l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</calcChain>
</file>

<file path=xl/sharedStrings.xml><?xml version="1.0" encoding="utf-8"?>
<sst xmlns="http://schemas.openxmlformats.org/spreadsheetml/2006/main" count="261" uniqueCount="80">
  <si>
    <t>Data</t>
  </si>
  <si>
    <t>Tipo</t>
  </si>
  <si>
    <t>Descrição</t>
  </si>
  <si>
    <t>Valor</t>
  </si>
  <si>
    <t>ENTRADA</t>
  </si>
  <si>
    <t>Renda Fixa</t>
  </si>
  <si>
    <t>Salário mensal</t>
  </si>
  <si>
    <t>Transferência</t>
  </si>
  <si>
    <t>Recebido</t>
  </si>
  <si>
    <t>SAÍDA</t>
  </si>
  <si>
    <t>Alimentação</t>
  </si>
  <si>
    <t>Compras no supermercado</t>
  </si>
  <si>
    <t>Débito Automático</t>
  </si>
  <si>
    <t>Pendente</t>
  </si>
  <si>
    <t>Transporte</t>
  </si>
  <si>
    <t>Gasolina</t>
  </si>
  <si>
    <t>Cartão de Crédito</t>
  </si>
  <si>
    <t>Pago</t>
  </si>
  <si>
    <t>Lazer</t>
  </si>
  <si>
    <t>Cinema</t>
  </si>
  <si>
    <t>Saúde</t>
  </si>
  <si>
    <t>Consulta odontológica</t>
  </si>
  <si>
    <t>Educação</t>
  </si>
  <si>
    <t>Material escolar</t>
  </si>
  <si>
    <t>Vestuário</t>
  </si>
  <si>
    <t>Compra de roupas de inverno</t>
  </si>
  <si>
    <t>Investimentos</t>
  </si>
  <si>
    <t>Dividendos de ações</t>
  </si>
  <si>
    <t>Serviços</t>
  </si>
  <si>
    <t>Limpeza do apartamento</t>
  </si>
  <si>
    <t>Eletrônicos</t>
  </si>
  <si>
    <t>Compra de novo celular</t>
  </si>
  <si>
    <t>Utilidades Domésticas</t>
  </si>
  <si>
    <t>Reparos domésticos</t>
  </si>
  <si>
    <t>Presentes</t>
  </si>
  <si>
    <t>Presente de aniversário</t>
  </si>
  <si>
    <t>Beleza</t>
  </si>
  <si>
    <t>Corte de cabelo e barba</t>
  </si>
  <si>
    <t>Pet Care</t>
  </si>
  <si>
    <t>Ração e petiscos para o cachorro</t>
  </si>
  <si>
    <t>Viagem</t>
  </si>
  <si>
    <t>Reserva de pousada</t>
  </si>
  <si>
    <t>Gastronomia</t>
  </si>
  <si>
    <t>Jantar em restaurante francês</t>
  </si>
  <si>
    <t>Cinema e jantar</t>
  </si>
  <si>
    <t>Plano de saúde</t>
  </si>
  <si>
    <t>Compra de roupas</t>
  </si>
  <si>
    <t>Freelance</t>
  </si>
  <si>
    <t>Pagamento por projeto freelancer</t>
  </si>
  <si>
    <t>Manutenção do veículo</t>
  </si>
  <si>
    <t>Compra de novo smartphone</t>
  </si>
  <si>
    <t>Utilidades Dom.</t>
  </si>
  <si>
    <t>Conta de energia elétrica</t>
  </si>
  <si>
    <t>Aniversário da mãe</t>
  </si>
  <si>
    <t>Recarga de cartão de transporte</t>
  </si>
  <si>
    <t>Ingressos para teatro</t>
  </si>
  <si>
    <t>Remédios de farmácia</t>
  </si>
  <si>
    <t>Cursos online</t>
  </si>
  <si>
    <t>Roupas de primavera</t>
  </si>
  <si>
    <t>Manutenção da casa</t>
  </si>
  <si>
    <t>Venda de ativos</t>
  </si>
  <si>
    <t>Venda de equipamentos eletrônicos</t>
  </si>
  <si>
    <t>Manutenção do computador</t>
  </si>
  <si>
    <t>Troca de móveis da cozinha</t>
  </si>
  <si>
    <t>Presentes para casamento</t>
  </si>
  <si>
    <t>Veterinário para o pet</t>
  </si>
  <si>
    <t>Salão de beleza</t>
  </si>
  <si>
    <t>Jantar em restaurante italiano</t>
  </si>
  <si>
    <t>Reserva de hotel para fim de semana</t>
  </si>
  <si>
    <t>Categoria</t>
  </si>
  <si>
    <t>Operação Bancária</t>
  </si>
  <si>
    <t>Status</t>
  </si>
  <si>
    <t>Rótulos de Linha</t>
  </si>
  <si>
    <t>Total Geral</t>
  </si>
  <si>
    <t>Soma de Valor</t>
  </si>
  <si>
    <t>Mês</t>
  </si>
  <si>
    <t>Data de Lançamento</t>
  </si>
  <si>
    <t>Depósito Reservado</t>
  </si>
  <si>
    <t>Total Reservado</t>
  </si>
  <si>
    <t>Meta de Reserva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</si>
</sst>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6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2" borderId="1" applyNumberFormat="0" applyAlignment="0" applyProtection="0"/>
    <xf numFmtId="166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6" fontId="0" fillId="0" borderId="0" xfId="3" applyFont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" fontId="0" fillId="0" borderId="0" xfId="0" applyNumberFormat="1" applyAlignment="1">
      <alignment horizontal="center" wrapText="1"/>
    </xf>
    <xf numFmtId="0" fontId="0" fillId="3" borderId="0" xfId="0" applyFill="1"/>
    <xf numFmtId="0" fontId="0" fillId="4" borderId="0" xfId="0" applyFill="1"/>
    <xf numFmtId="14" fontId="0" fillId="0" borderId="0" xfId="0" applyNumberFormat="1"/>
    <xf numFmtId="44" fontId="0" fillId="0" borderId="0" xfId="1" applyFont="1"/>
    <xf numFmtId="44" fontId="0" fillId="0" borderId="0" xfId="0" applyNumberFormat="1"/>
    <xf numFmtId="0" fontId="2" fillId="2" borderId="1" xfId="2"/>
  </cellXfs>
  <cellStyles count="4">
    <cellStyle name="Moeda" xfId="1" builtinId="4"/>
    <cellStyle name="Moeda 2" xfId="3" xr:uid="{CCEDC4BA-779D-4CA6-8CDB-BD814D821355}"/>
    <cellStyle name="Normal" xfId="0" builtinId="0"/>
    <cellStyle name="Saída" xfId="2" builtinId="21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</dxf>
    <dxf>
      <font>
        <color theme="0"/>
      </font>
      <border>
        <bottom style="thin">
          <color theme="6"/>
        </bottom>
        <vertical/>
        <horizontal/>
      </border>
    </dxf>
    <dxf>
      <font>
        <color theme="0"/>
      </font>
      <fill>
        <patternFill>
          <bgColor theme="1" tint="0.14996795556505021"/>
        </patternFill>
      </fill>
      <border>
        <left/>
        <right/>
        <top/>
        <bottom/>
        <vertical/>
        <horizontal/>
      </border>
    </dxf>
    <dxf>
      <numFmt numFmtId="1" formatCode="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9" formatCode="dd/mm/yyyy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</dxfs>
  <tableStyles count="1" defaultTableStyle="TableStyleMedium2" defaultPivotStyle="PivotStyleLight16">
    <tableStyle name="SlicerStyleDark3Personalizado" pivot="0" table="0" count="10" xr9:uid="{BE1579CE-754E-4B69-AFF4-BD0D23FC9F3A}">
      <tableStyleElement type="wholeTable" dxfId="3"/>
      <tableStyleElement type="headerRow" dxfId="2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theme="9" tint="-0.25098422193060094"/>
              </stop>
              <stop position="1">
                <color theme="9" tint="0.40000610370189521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theme="9" tint="-0.25098422193060094"/>
              </stop>
              <stop position="1">
                <color theme="9" tint="0.40000610370189521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theme="9" tint="-0.25098422193060094"/>
              </stop>
              <stop position="1">
                <color theme="9" tint="0.40000610370189521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6" tint="-0.249977111117893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theme="6" tint="0.59999389629810485"/>
            </left>
            <right style="thin">
              <color theme="6" tint="0.59999389629810485"/>
            </right>
            <top style="thin">
              <color theme="6" tint="0.59999389629810485"/>
            </top>
            <bottom style="thin">
              <color theme="6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6"/>
              <bgColor theme="6"/>
            </patternFill>
          </fill>
          <border>
            <left style="thin">
              <color theme="6"/>
            </left>
            <right style="thin">
              <color theme="6"/>
            </right>
            <top style="thin">
              <color theme="6"/>
            </top>
            <bottom style="thin">
              <color theme="6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3Personalizado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[DIO_ProjetoPlanilhaVidaFinanceira.xlsx]Controller!tblDinamicaSaida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Controller!$G$3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Controller!$F$4:$F$19</c:f>
              <c:strCache>
                <c:ptCount val="15"/>
                <c:pt idx="0">
                  <c:v>Alimentação</c:v>
                </c:pt>
                <c:pt idx="1">
                  <c:v>Beleza</c:v>
                </c:pt>
                <c:pt idx="2">
                  <c:v>Educação</c:v>
                </c:pt>
                <c:pt idx="3">
                  <c:v>Eletrônicos</c:v>
                </c:pt>
                <c:pt idx="4">
                  <c:v>Gastronomia</c:v>
                </c:pt>
                <c:pt idx="5">
                  <c:v>Lazer</c:v>
                </c:pt>
                <c:pt idx="6">
                  <c:v>Pet Care</c:v>
                </c:pt>
                <c:pt idx="7">
                  <c:v>Presentes</c:v>
                </c:pt>
                <c:pt idx="8">
                  <c:v>Saúde</c:v>
                </c:pt>
                <c:pt idx="9">
                  <c:v>Serviços</c:v>
                </c:pt>
                <c:pt idx="10">
                  <c:v>Transporte</c:v>
                </c:pt>
                <c:pt idx="11">
                  <c:v>Utilidades Dom.</c:v>
                </c:pt>
                <c:pt idx="12">
                  <c:v>Utilidades Domésticas</c:v>
                </c:pt>
                <c:pt idx="13">
                  <c:v>Vestuário</c:v>
                </c:pt>
                <c:pt idx="14">
                  <c:v>Viagem</c:v>
                </c:pt>
              </c:strCache>
            </c:strRef>
          </c:cat>
          <c:val>
            <c:numRef>
              <c:f>Controller!$G$4:$G$19</c:f>
              <c:numCache>
                <c:formatCode>_("R$"* #,##0.00_);_("R$"* \(#,##0.00\);_("R$"* "-"??_);_(@_)</c:formatCode>
                <c:ptCount val="15"/>
                <c:pt idx="0">
                  <c:v>1600</c:v>
                </c:pt>
                <c:pt idx="1">
                  <c:v>330</c:v>
                </c:pt>
                <c:pt idx="2">
                  <c:v>1100</c:v>
                </c:pt>
                <c:pt idx="3">
                  <c:v>3000</c:v>
                </c:pt>
                <c:pt idx="4">
                  <c:v>570</c:v>
                </c:pt>
                <c:pt idx="5">
                  <c:v>500</c:v>
                </c:pt>
                <c:pt idx="6">
                  <c:v>350</c:v>
                </c:pt>
                <c:pt idx="7">
                  <c:v>830</c:v>
                </c:pt>
                <c:pt idx="8">
                  <c:v>970</c:v>
                </c:pt>
                <c:pt idx="9">
                  <c:v>1400</c:v>
                </c:pt>
                <c:pt idx="10">
                  <c:v>800</c:v>
                </c:pt>
                <c:pt idx="11">
                  <c:v>250</c:v>
                </c:pt>
                <c:pt idx="12">
                  <c:v>1250</c:v>
                </c:pt>
                <c:pt idx="13">
                  <c:v>1500</c:v>
                </c:pt>
                <c:pt idx="14">
                  <c:v>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13-48CF-933D-33EBABA34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49473967"/>
        <c:axId val="1049475407"/>
      </c:barChart>
      <c:catAx>
        <c:axId val="104947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9475407"/>
        <c:crosses val="autoZero"/>
        <c:auto val="1"/>
        <c:lblAlgn val="ctr"/>
        <c:lblOffset val="100"/>
        <c:noMultiLvlLbl val="0"/>
      </c:catAx>
      <c:valAx>
        <c:axId val="1049475407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49473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[DIO_ProjetoPlanilhaVidaFinanceira.xlsx]Controller!tblDinamicaEntrada</c:name>
    <c:fmtId val="4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Controller!$D$3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Controller!$C$4:$C$8</c:f>
              <c:strCache>
                <c:ptCount val="4"/>
                <c:pt idx="0">
                  <c:v>Freelance</c:v>
                </c:pt>
                <c:pt idx="1">
                  <c:v>Investimentos</c:v>
                </c:pt>
                <c:pt idx="2">
                  <c:v>Renda Fixa</c:v>
                </c:pt>
                <c:pt idx="3">
                  <c:v>Venda de ativos</c:v>
                </c:pt>
              </c:strCache>
            </c:strRef>
          </c:cat>
          <c:val>
            <c:numRef>
              <c:f>Controller!$D$4:$D$8</c:f>
              <c:numCache>
                <c:formatCode>_("R$"* #,##0.00_);_("R$"* \(#,##0.00\);_("R$"* "-"??_);_(@_)</c:formatCode>
                <c:ptCount val="4"/>
                <c:pt idx="0">
                  <c:v>1200</c:v>
                </c:pt>
                <c:pt idx="1">
                  <c:v>800</c:v>
                </c:pt>
                <c:pt idx="2">
                  <c:v>15000</c:v>
                </c:pt>
                <c:pt idx="3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7E-48E1-82F4-019D17D9E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1101391"/>
        <c:axId val="1050248559"/>
      </c:barChart>
      <c:catAx>
        <c:axId val="89110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0248559"/>
        <c:crosses val="autoZero"/>
        <c:auto val="1"/>
        <c:lblAlgn val="ctr"/>
        <c:lblOffset val="100"/>
        <c:noMultiLvlLbl val="0"/>
      </c:catAx>
      <c:valAx>
        <c:axId val="10502485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89110139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6">
                    <a:lumMod val="50000"/>
                  </a:schemeClr>
                </a:gs>
                <a:gs pos="53000">
                  <a:schemeClr val="accent6">
                    <a:lumMod val="75000"/>
                  </a:schemeClr>
                </a:gs>
                <a:gs pos="100000">
                  <a:schemeClr val="accent6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Caixinha!$D$2</c:f>
              <c:numCache>
                <c:formatCode>_("R$"* #,##0.00_);_("R$"* \(#,##0.00\);_("R$"* "-"??_);_(@_)</c:formatCode>
                <c:ptCount val="1"/>
                <c:pt idx="0">
                  <c:v>3661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32-4539-91DF-3903C7A42FF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932-4539-91DF-3903C7A42FF8}"/>
              </c:ext>
            </c:extLst>
          </c:dPt>
          <c:val>
            <c:numRef>
              <c:f>Caixinha!$D$3</c:f>
              <c:numCache>
                <c:formatCode>_("R$"* #,##0.00_);_("R$"* \(#,##0.00\);_("R$"* "-"??_);_(@_)</c:formatCode>
                <c:ptCount val="1"/>
                <c:pt idx="0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32-4539-91DF-3903C7A42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2042351"/>
        <c:axId val="1262042831"/>
      </c:barChart>
      <c:catAx>
        <c:axId val="12620423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62042831"/>
        <c:crosses val="autoZero"/>
        <c:auto val="1"/>
        <c:lblAlgn val="ctr"/>
        <c:lblOffset val="100"/>
        <c:noMultiLvlLbl val="0"/>
      </c:catAx>
      <c:valAx>
        <c:axId val="1262042831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26204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10.png"/><Relationship Id="rId3" Type="http://schemas.openxmlformats.org/officeDocument/2006/relationships/image" Target="../media/image2.svg"/><Relationship Id="rId7" Type="http://schemas.openxmlformats.org/officeDocument/2006/relationships/image" Target="../media/image4.svg"/><Relationship Id="rId12" Type="http://schemas.openxmlformats.org/officeDocument/2006/relationships/image" Target="../media/image9.sv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11" Type="http://schemas.openxmlformats.org/officeDocument/2006/relationships/image" Target="../media/image8.png"/><Relationship Id="rId5" Type="http://schemas.openxmlformats.org/officeDocument/2006/relationships/hyperlink" Target="#Data!A1"/><Relationship Id="rId15" Type="http://schemas.openxmlformats.org/officeDocument/2006/relationships/chart" Target="../charts/chart3.xml"/><Relationship Id="rId10" Type="http://schemas.openxmlformats.org/officeDocument/2006/relationships/image" Target="../media/image7.svg"/><Relationship Id="rId4" Type="http://schemas.openxmlformats.org/officeDocument/2006/relationships/chart" Target="../charts/chart2.xml"/><Relationship Id="rId9" Type="http://schemas.openxmlformats.org/officeDocument/2006/relationships/image" Target="../media/image6.png"/><Relationship Id="rId14" Type="http://schemas.openxmlformats.org/officeDocument/2006/relationships/image" Target="../media/image11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655108</xdr:colOff>
      <xdr:row>9</xdr:row>
      <xdr:rowOff>34078</xdr:rowOff>
    </xdr:from>
    <xdr:to>
      <xdr:col>20</xdr:col>
      <xdr:colOff>17940</xdr:colOff>
      <xdr:row>30</xdr:row>
      <xdr:rowOff>102589</xdr:rowOff>
    </xdr:to>
    <xdr:sp macro="" textlink="">
      <xdr:nvSpPr>
        <xdr:cNvPr id="61" name="Retângulo: Cantos Arredondados 60">
          <a:extLst>
            <a:ext uri="{FF2B5EF4-FFF2-40B4-BE49-F238E27FC236}">
              <a16:creationId xmlns:a16="http://schemas.microsoft.com/office/drawing/2014/main" id="{2B4883B4-C758-4413-85D2-1B612E47314F}"/>
            </a:ext>
          </a:extLst>
        </xdr:cNvPr>
        <xdr:cNvSpPr/>
      </xdr:nvSpPr>
      <xdr:spPr>
        <a:xfrm>
          <a:off x="9189508" y="1634278"/>
          <a:ext cx="5382632" cy="3802311"/>
        </a:xfrm>
        <a:prstGeom prst="roundRect">
          <a:avLst>
            <a:gd name="adj" fmla="val 9146"/>
          </a:avLst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11</xdr:col>
      <xdr:colOff>655109</xdr:colOff>
      <xdr:row>9</xdr:row>
      <xdr:rowOff>34078</xdr:rowOff>
    </xdr:from>
    <xdr:to>
      <xdr:col>20</xdr:col>
      <xdr:colOff>21623</xdr:colOff>
      <xdr:row>12</xdr:row>
      <xdr:rowOff>85757</xdr:rowOff>
    </xdr:to>
    <xdr:sp macro="" textlink="">
      <xdr:nvSpPr>
        <xdr:cNvPr id="59" name="Retângulo: Cantos Superiores Arredondados 58">
          <a:extLst>
            <a:ext uri="{FF2B5EF4-FFF2-40B4-BE49-F238E27FC236}">
              <a16:creationId xmlns:a16="http://schemas.microsoft.com/office/drawing/2014/main" id="{3EF32405-2CAB-4A47-A0AE-4AD114550234}"/>
            </a:ext>
          </a:extLst>
        </xdr:cNvPr>
        <xdr:cNvSpPr/>
      </xdr:nvSpPr>
      <xdr:spPr>
        <a:xfrm>
          <a:off x="9189509" y="1634278"/>
          <a:ext cx="5386314" cy="585079"/>
        </a:xfrm>
        <a:prstGeom prst="round2SameRect">
          <a:avLst>
            <a:gd name="adj1" fmla="val 50000"/>
            <a:gd name="adj2" fmla="val 0"/>
          </a:avLst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</xdr:col>
      <xdr:colOff>638176</xdr:colOff>
      <xdr:row>33</xdr:row>
      <xdr:rowOff>160020</xdr:rowOff>
    </xdr:from>
    <xdr:to>
      <xdr:col>19</xdr:col>
      <xdr:colOff>412096</xdr:colOff>
      <xdr:row>55</xdr:row>
      <xdr:rowOff>15240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FD47AF2F-B0C2-459A-CEC0-566375083B35}"/>
            </a:ext>
          </a:extLst>
        </xdr:cNvPr>
        <xdr:cNvGrpSpPr/>
      </xdr:nvGrpSpPr>
      <xdr:grpSpPr>
        <a:xfrm>
          <a:off x="2486026" y="5817870"/>
          <a:ext cx="11775420" cy="3627120"/>
          <a:chOff x="2459300" y="5632397"/>
          <a:chExt cx="11844000" cy="3710940"/>
        </a:xfrm>
      </xdr:grpSpPr>
      <xdr:grpSp>
        <xdr:nvGrpSpPr>
          <xdr:cNvPr id="10" name="Agrupar 9">
            <a:extLst>
              <a:ext uri="{FF2B5EF4-FFF2-40B4-BE49-F238E27FC236}">
                <a16:creationId xmlns:a16="http://schemas.microsoft.com/office/drawing/2014/main" id="{04F66452-1F6E-AB61-97CF-9D5BA8985E72}"/>
              </a:ext>
            </a:extLst>
          </xdr:cNvPr>
          <xdr:cNvGrpSpPr/>
        </xdr:nvGrpSpPr>
        <xdr:grpSpPr>
          <a:xfrm>
            <a:off x="2459300" y="5632397"/>
            <a:ext cx="11844000" cy="3710940"/>
            <a:chOff x="2459047" y="5632397"/>
            <a:chExt cx="11833860" cy="3710940"/>
          </a:xfrm>
        </xdr:grpSpPr>
        <xdr:sp macro="" textlink="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87C88EA3-EE90-4A98-95D4-0967D9DAD015}"/>
                </a:ext>
              </a:extLst>
            </xdr:cNvPr>
            <xdr:cNvSpPr/>
          </xdr:nvSpPr>
          <xdr:spPr>
            <a:xfrm>
              <a:off x="2459047" y="5754317"/>
              <a:ext cx="11833860" cy="3589020"/>
            </a:xfrm>
            <a:prstGeom prst="roundRect">
              <a:avLst>
                <a:gd name="adj" fmla="val 9438"/>
              </a:avLst>
            </a:prstGeom>
            <a:solidFill>
              <a:schemeClr val="bg2">
                <a:lumMod val="2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3" name="grafSaida">
              <a:extLst>
                <a:ext uri="{FF2B5EF4-FFF2-40B4-BE49-F238E27FC236}">
                  <a16:creationId xmlns:a16="http://schemas.microsoft.com/office/drawing/2014/main" id="{292321A7-C39F-42D4-B506-25AB4E45A124}"/>
                </a:ext>
              </a:extLst>
            </xdr:cNvPr>
            <xdr:cNvGraphicFramePr>
              <a:graphicFrameLocks/>
            </xdr:cNvGraphicFramePr>
          </xdr:nvGraphicFramePr>
          <xdr:xfrm>
            <a:off x="2482168" y="6402016"/>
            <a:ext cx="1119378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9" name="Retângulo: Cantos Superiores Arredondados 8">
              <a:extLst>
                <a:ext uri="{FF2B5EF4-FFF2-40B4-BE49-F238E27FC236}">
                  <a16:creationId xmlns:a16="http://schemas.microsoft.com/office/drawing/2014/main" id="{04FAA15D-9290-4E01-AEAF-4E9F7DC8F729}"/>
                </a:ext>
              </a:extLst>
            </xdr:cNvPr>
            <xdr:cNvSpPr/>
          </xdr:nvSpPr>
          <xdr:spPr>
            <a:xfrm>
              <a:off x="2459047" y="5632397"/>
              <a:ext cx="11833860" cy="576000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chemeClr val="accent6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</xdr:grpSp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id="{F26605F2-87AC-46AA-90FA-1ABA2AB21E65}"/>
              </a:ext>
            </a:extLst>
          </xdr:cNvPr>
          <xdr:cNvSpPr txBox="1"/>
        </xdr:nvSpPr>
        <xdr:spPr>
          <a:xfrm>
            <a:off x="3335600" y="5708597"/>
            <a:ext cx="4168140" cy="3962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000" kern="1200">
                <a:solidFill>
                  <a:schemeClr val="bg1">
                    <a:lumMod val="9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Gastos</a:t>
            </a:r>
          </a:p>
        </xdr:txBody>
      </xdr:sp>
    </xdr:grpSp>
    <xdr:clientData/>
  </xdr:twoCellAnchor>
  <xdr:twoCellAnchor>
    <xdr:from>
      <xdr:col>1</xdr:col>
      <xdr:colOff>561975</xdr:colOff>
      <xdr:row>9</xdr:row>
      <xdr:rowOff>93345</xdr:rowOff>
    </xdr:from>
    <xdr:to>
      <xdr:col>9</xdr:col>
      <xdr:colOff>597355</xdr:colOff>
      <xdr:row>30</xdr:row>
      <xdr:rowOff>163830</xdr:rowOff>
    </xdr:to>
    <xdr:grpSp>
      <xdr:nvGrpSpPr>
        <xdr:cNvPr id="38" name="Agrupar 37">
          <a:extLst>
            <a:ext uri="{FF2B5EF4-FFF2-40B4-BE49-F238E27FC236}">
              <a16:creationId xmlns:a16="http://schemas.microsoft.com/office/drawing/2014/main" id="{C02B6B5C-4B47-9453-12A5-A0F553CBDAA2}"/>
            </a:ext>
          </a:extLst>
        </xdr:cNvPr>
        <xdr:cNvGrpSpPr/>
      </xdr:nvGrpSpPr>
      <xdr:grpSpPr>
        <a:xfrm>
          <a:off x="2409825" y="1636395"/>
          <a:ext cx="5369380" cy="3670935"/>
          <a:chOff x="2409825" y="1636395"/>
          <a:chExt cx="5369380" cy="3670935"/>
        </a:xfrm>
      </xdr:grpSpPr>
      <xdr:grpSp>
        <xdr:nvGrpSpPr>
          <xdr:cNvPr id="37" name="Agrupar 36">
            <a:extLst>
              <a:ext uri="{FF2B5EF4-FFF2-40B4-BE49-F238E27FC236}">
                <a16:creationId xmlns:a16="http://schemas.microsoft.com/office/drawing/2014/main" id="{D855B831-FEBF-1DE0-DF0E-11B91AB9C8A5}"/>
              </a:ext>
            </a:extLst>
          </xdr:cNvPr>
          <xdr:cNvGrpSpPr/>
        </xdr:nvGrpSpPr>
        <xdr:grpSpPr>
          <a:xfrm>
            <a:off x="2409825" y="1636395"/>
            <a:ext cx="5369380" cy="3670935"/>
            <a:chOff x="2409825" y="1636395"/>
            <a:chExt cx="5369380" cy="3670935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756328DC-5536-DC42-7FFB-181A13F90253}"/>
                </a:ext>
              </a:extLst>
            </xdr:cNvPr>
            <xdr:cNvSpPr/>
          </xdr:nvSpPr>
          <xdr:spPr>
            <a:xfrm>
              <a:off x="2409825" y="1638300"/>
              <a:ext cx="5365710" cy="3669030"/>
            </a:xfrm>
            <a:prstGeom prst="roundRect">
              <a:avLst>
                <a:gd name="adj" fmla="val 9146"/>
              </a:avLst>
            </a:prstGeom>
            <a:solidFill>
              <a:schemeClr val="bg2">
                <a:lumMod val="2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">
          <xdr:nvSpPr>
            <xdr:cNvPr id="8" name="Retângulo: Cantos Superiores Arredondados 7">
              <a:extLst>
                <a:ext uri="{FF2B5EF4-FFF2-40B4-BE49-F238E27FC236}">
                  <a16:creationId xmlns:a16="http://schemas.microsoft.com/office/drawing/2014/main" id="{4F381482-CB5B-F224-9C1B-411D5502815C}"/>
                </a:ext>
              </a:extLst>
            </xdr:cNvPr>
            <xdr:cNvSpPr/>
          </xdr:nvSpPr>
          <xdr:spPr>
            <a:xfrm>
              <a:off x="2409825" y="1636395"/>
              <a:ext cx="5369380" cy="564570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chemeClr val="accent6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">
          <xdr:nvSpPr>
            <xdr:cNvPr id="11" name="CaixaDeTexto 10">
              <a:extLst>
                <a:ext uri="{FF2B5EF4-FFF2-40B4-BE49-F238E27FC236}">
                  <a16:creationId xmlns:a16="http://schemas.microsoft.com/office/drawing/2014/main" id="{5D080A1E-6820-7E8A-33D7-5C6637A1F57C}"/>
                </a:ext>
              </a:extLst>
            </xdr:cNvPr>
            <xdr:cNvSpPr txBox="1"/>
          </xdr:nvSpPr>
          <xdr:spPr>
            <a:xfrm>
              <a:off x="3267075" y="1699260"/>
              <a:ext cx="4232910" cy="38862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2000" kern="1200">
                  <a:solidFill>
                    <a:schemeClr val="bg1">
                      <a:lumMod val="95000"/>
                    </a:schemeClr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Entradas</a:t>
              </a:r>
            </a:p>
          </xdr:txBody>
        </xdr:sp>
        <xdr:pic>
          <xdr:nvPicPr>
            <xdr:cNvPr id="19" name="Gráfico 18" descr="Registrar estrutura de tópicos">
              <a:extLst>
                <a:ext uri="{FF2B5EF4-FFF2-40B4-BE49-F238E27FC236}">
                  <a16:creationId xmlns:a16="http://schemas.microsoft.com/office/drawing/2014/main" id="{D17BAEAA-EF31-73B9-570F-9437FC470D6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96DAC541-7B7A-43D3-8B79-37D633B846F1}">
                  <asvg:svgBlip xmlns:asvg="http://schemas.microsoft.com/office/drawing/2016/SVG/main" r:embed="rId3"/>
                </a:ext>
              </a:extLst>
            </a:blip>
            <a:stretch>
              <a:fillRect/>
            </a:stretch>
          </xdr:blipFill>
          <xdr:spPr>
            <a:xfrm>
              <a:off x="2668302" y="1696860"/>
              <a:ext cx="504304" cy="496024"/>
            </a:xfrm>
            <a:prstGeom prst="rect">
              <a:avLst/>
            </a:prstGeom>
          </xdr:spPr>
        </xdr:pic>
      </xdr:grpSp>
      <xdr:graphicFrame macro="">
        <xdr:nvGraphicFramePr>
          <xdr:cNvPr id="2" name="grafEntrada">
            <a:extLst>
              <a:ext uri="{FF2B5EF4-FFF2-40B4-BE49-F238E27FC236}">
                <a16:creationId xmlns:a16="http://schemas.microsoft.com/office/drawing/2014/main" id="{D67190F7-B4D9-46E0-86A6-D23C19481E99}"/>
              </a:ext>
            </a:extLst>
          </xdr:cNvPr>
          <xdr:cNvGraphicFramePr>
            <a:graphicFrameLocks/>
          </xdr:cNvGraphicFramePr>
        </xdr:nvGraphicFramePr>
        <xdr:xfrm>
          <a:off x="2619374" y="2438400"/>
          <a:ext cx="4962525" cy="26822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1828800</xdr:colOff>
      <xdr:row>26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0" name="Mês 1">
              <a:extLst>
                <a:ext uri="{FF2B5EF4-FFF2-40B4-BE49-F238E27FC236}">
                  <a16:creationId xmlns:a16="http://schemas.microsoft.com/office/drawing/2014/main" id="{04E2789B-7142-4B3A-BDB6-09E259C641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028700"/>
              <a:ext cx="1828800" cy="3467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533399</xdr:colOff>
      <xdr:row>1</xdr:row>
      <xdr:rowOff>0</xdr:rowOff>
    </xdr:from>
    <xdr:to>
      <xdr:col>3</xdr:col>
      <xdr:colOff>587828</xdr:colOff>
      <xdr:row>7</xdr:row>
      <xdr:rowOff>0</xdr:rowOff>
    </xdr:to>
    <xdr:sp macro="" textlink="">
      <xdr:nvSpPr>
        <xdr:cNvPr id="41" name="Retângulo 40">
          <a:extLst>
            <a:ext uri="{FF2B5EF4-FFF2-40B4-BE49-F238E27FC236}">
              <a16:creationId xmlns:a16="http://schemas.microsoft.com/office/drawing/2014/main" id="{EDE4C257-0C3E-FE83-D0C7-942A0D1471CB}"/>
            </a:ext>
          </a:extLst>
        </xdr:cNvPr>
        <xdr:cNvSpPr/>
      </xdr:nvSpPr>
      <xdr:spPr>
        <a:xfrm>
          <a:off x="2373085" y="174171"/>
          <a:ext cx="1404257" cy="1045029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oneCellAnchor>
    <xdr:from>
      <xdr:col>4</xdr:col>
      <xdr:colOff>337457</xdr:colOff>
      <xdr:row>1</xdr:row>
      <xdr:rowOff>97971</xdr:rowOff>
    </xdr:from>
    <xdr:ext cx="1678858" cy="433452"/>
    <xdr:sp macro="" textlink="">
      <xdr:nvSpPr>
        <xdr:cNvPr id="42" name="CaixaDeTexto 41">
          <a:extLst>
            <a:ext uri="{FF2B5EF4-FFF2-40B4-BE49-F238E27FC236}">
              <a16:creationId xmlns:a16="http://schemas.microsoft.com/office/drawing/2014/main" id="{233C6F84-55AF-B157-E5BB-70AA2359B0B3}"/>
            </a:ext>
          </a:extLst>
        </xdr:cNvPr>
        <xdr:cNvSpPr txBox="1"/>
      </xdr:nvSpPr>
      <xdr:spPr>
        <a:xfrm>
          <a:off x="4201886" y="272142"/>
          <a:ext cx="1678858" cy="433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2000" kern="1200">
              <a:solidFill>
                <a:schemeClr val="bg1">
                  <a:lumMod val="9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Hello, Márcio</a:t>
          </a:r>
        </a:p>
      </xdr:txBody>
    </xdr:sp>
    <xdr:clientData/>
  </xdr:oneCellAnchor>
  <xdr:oneCellAnchor>
    <xdr:from>
      <xdr:col>4</xdr:col>
      <xdr:colOff>337457</xdr:colOff>
      <xdr:row>4</xdr:row>
      <xdr:rowOff>-1</xdr:rowOff>
    </xdr:from>
    <xdr:ext cx="2839303" cy="365228"/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AD4CF726-7AFE-4B5A-A85D-45341A14F121}"/>
            </a:ext>
          </a:extLst>
        </xdr:cNvPr>
        <xdr:cNvSpPr txBox="1"/>
      </xdr:nvSpPr>
      <xdr:spPr>
        <a:xfrm>
          <a:off x="4201886" y="696685"/>
          <a:ext cx="2839303" cy="3652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 kern="1200">
              <a:solidFill>
                <a:schemeClr val="bg1">
                  <a:lumMod val="9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Acompanhamento Financeiro</a:t>
          </a:r>
        </a:p>
      </xdr:txBody>
    </xdr:sp>
    <xdr:clientData/>
  </xdr:oneCellAnchor>
  <xdr:twoCellAnchor>
    <xdr:from>
      <xdr:col>15</xdr:col>
      <xdr:colOff>664029</xdr:colOff>
      <xdr:row>1</xdr:row>
      <xdr:rowOff>130628</xdr:rowOff>
    </xdr:from>
    <xdr:to>
      <xdr:col>25</xdr:col>
      <xdr:colOff>250372</xdr:colOff>
      <xdr:row>4</xdr:row>
      <xdr:rowOff>97969</xdr:rowOff>
    </xdr:to>
    <xdr:grpSp>
      <xdr:nvGrpSpPr>
        <xdr:cNvPr id="48" name="Agrupar 4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6AD8842-7C18-C766-5B39-64E956DB8EB4}"/>
            </a:ext>
          </a:extLst>
        </xdr:cNvPr>
        <xdr:cNvGrpSpPr/>
      </xdr:nvGrpSpPr>
      <xdr:grpSpPr>
        <a:xfrm>
          <a:off x="11846379" y="302078"/>
          <a:ext cx="6253843" cy="481691"/>
          <a:chOff x="10330543" y="609599"/>
          <a:chExt cx="6335486" cy="489856"/>
        </a:xfrm>
      </xdr:grpSpPr>
      <xdr:sp macro="" textlink="">
        <xdr:nvSpPr>
          <xdr:cNvPr id="47" name="CaixaDeTexto 46">
            <a:extLst>
              <a:ext uri="{FF2B5EF4-FFF2-40B4-BE49-F238E27FC236}">
                <a16:creationId xmlns:a16="http://schemas.microsoft.com/office/drawing/2014/main" id="{AC08C0A7-EBB8-6720-B4C1-4E53C08C1B4F}"/>
              </a:ext>
            </a:extLst>
          </xdr:cNvPr>
          <xdr:cNvSpPr txBox="1"/>
        </xdr:nvSpPr>
        <xdr:spPr>
          <a:xfrm>
            <a:off x="10330543" y="631372"/>
            <a:ext cx="6335486" cy="413657"/>
          </a:xfrm>
          <a:prstGeom prst="rect">
            <a:avLst/>
          </a:prstGeom>
          <a:solidFill>
            <a:schemeClr val="bg2">
              <a:lumMod val="25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800" kern="1200">
                <a:solidFill>
                  <a:schemeClr val="bg1">
                    <a:lumMod val="9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Pesquisar...</a:t>
            </a:r>
          </a:p>
        </xdr:txBody>
      </xdr:sp>
      <xdr:pic>
        <xdr:nvPicPr>
          <xdr:cNvPr id="46" name="Gráfico 45" descr="Acento Circunflexo à Direita estrutura de tópicos">
            <a:extLst>
              <a:ext uri="{FF2B5EF4-FFF2-40B4-BE49-F238E27FC236}">
                <a16:creationId xmlns:a16="http://schemas.microsoft.com/office/drawing/2014/main" id="{41A9A044-B166-D529-90AF-9560E0238A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16165288" y="609599"/>
            <a:ext cx="489856" cy="489856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119744</xdr:colOff>
      <xdr:row>0</xdr:row>
      <xdr:rowOff>43543</xdr:rowOff>
    </xdr:from>
    <xdr:to>
      <xdr:col>3</xdr:col>
      <xdr:colOff>349449</xdr:colOff>
      <xdr:row>7</xdr:row>
      <xdr:rowOff>0</xdr:rowOff>
    </xdr:to>
    <xdr:pic>
      <xdr:nvPicPr>
        <xdr:cNvPr id="50" name="Imagem 49" descr="Empresário com punho no queixo">
          <a:extLst>
            <a:ext uri="{FF2B5EF4-FFF2-40B4-BE49-F238E27FC236}">
              <a16:creationId xmlns:a16="http://schemas.microsoft.com/office/drawing/2014/main" id="{98054814-8E3A-767E-B00A-F7B1E07F52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0584"/>
        <a:stretch/>
      </xdr:blipFill>
      <xdr:spPr>
        <a:xfrm>
          <a:off x="2634344" y="43543"/>
          <a:ext cx="904619" cy="117565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99646</xdr:rowOff>
    </xdr:from>
    <xdr:to>
      <xdr:col>0</xdr:col>
      <xdr:colOff>1834662</xdr:colOff>
      <xdr:row>3</xdr:row>
      <xdr:rowOff>23447</xdr:rowOff>
    </xdr:to>
    <xdr:sp macro="" textlink="">
      <xdr:nvSpPr>
        <xdr:cNvPr id="51" name="Retângulo: Cantos Arredondados 50">
          <a:extLst>
            <a:ext uri="{FF2B5EF4-FFF2-40B4-BE49-F238E27FC236}">
              <a16:creationId xmlns:a16="http://schemas.microsoft.com/office/drawing/2014/main" id="{F4915102-DBAE-B3EC-E5D3-501E201F293E}"/>
            </a:ext>
          </a:extLst>
        </xdr:cNvPr>
        <xdr:cNvSpPr/>
      </xdr:nvSpPr>
      <xdr:spPr>
        <a:xfrm>
          <a:off x="0" y="99646"/>
          <a:ext cx="1834662" cy="451339"/>
        </a:xfrm>
        <a:prstGeom prst="roundRect">
          <a:avLst>
            <a:gd name="adj" fmla="val 9736"/>
          </a:avLst>
        </a:prstGeom>
        <a:ln>
          <a:noFill/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 kern="1200"/>
            <a:t>Money</a:t>
          </a:r>
          <a:r>
            <a:rPr lang="pt-BR" sz="1100" kern="1200" baseline="0"/>
            <a:t> APP</a:t>
          </a:r>
          <a:endParaRPr lang="pt-BR" sz="1100" kern="1200"/>
        </a:p>
      </xdr:txBody>
    </xdr:sp>
    <xdr:clientData/>
  </xdr:twoCellAnchor>
  <xdr:twoCellAnchor editAs="oneCell">
    <xdr:from>
      <xdr:col>0</xdr:col>
      <xdr:colOff>1107832</xdr:colOff>
      <xdr:row>0</xdr:row>
      <xdr:rowOff>82061</xdr:rowOff>
    </xdr:from>
    <xdr:to>
      <xdr:col>0</xdr:col>
      <xdr:colOff>1588479</xdr:colOff>
      <xdr:row>3</xdr:row>
      <xdr:rowOff>35170</xdr:rowOff>
    </xdr:to>
    <xdr:pic>
      <xdr:nvPicPr>
        <xdr:cNvPr id="53" name="Gráfico 52" descr="Dinheiro com preenchimento sólido">
          <a:extLst>
            <a:ext uri="{FF2B5EF4-FFF2-40B4-BE49-F238E27FC236}">
              <a16:creationId xmlns:a16="http://schemas.microsoft.com/office/drawing/2014/main" id="{FA0BA362-1E18-EAA7-8AD8-0BCB019C5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107832" y="82061"/>
          <a:ext cx="480647" cy="480647"/>
        </a:xfrm>
        <a:prstGeom prst="rect">
          <a:avLst/>
        </a:prstGeom>
      </xdr:spPr>
    </xdr:pic>
    <xdr:clientData/>
  </xdr:twoCellAnchor>
  <xdr:twoCellAnchor editAs="oneCell">
    <xdr:from>
      <xdr:col>2</xdr:col>
      <xdr:colOff>203200</xdr:colOff>
      <xdr:row>34</xdr:row>
      <xdr:rowOff>25400</xdr:rowOff>
    </xdr:from>
    <xdr:to>
      <xdr:col>3</xdr:col>
      <xdr:colOff>50800</xdr:colOff>
      <xdr:row>37</xdr:row>
      <xdr:rowOff>8467</xdr:rowOff>
    </xdr:to>
    <xdr:pic>
      <xdr:nvPicPr>
        <xdr:cNvPr id="55" name="Gráfico 54" descr="Dinheiro voador estrutura de tópicos">
          <a:extLst>
            <a:ext uri="{FF2B5EF4-FFF2-40B4-BE49-F238E27FC236}">
              <a16:creationId xmlns:a16="http://schemas.microsoft.com/office/drawing/2014/main" id="{65F57B6B-10E7-203D-A554-17D290A2C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717800" y="6070600"/>
          <a:ext cx="516467" cy="516467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8</xdr:row>
      <xdr:rowOff>160867</xdr:rowOff>
    </xdr:from>
    <xdr:to>
      <xdr:col>13</xdr:col>
      <xdr:colOff>127000</xdr:colOff>
      <xdr:row>12</xdr:row>
      <xdr:rowOff>93133</xdr:rowOff>
    </xdr:to>
    <xdr:pic>
      <xdr:nvPicPr>
        <xdr:cNvPr id="57" name="Gráfico 56" descr="Cofrinho estrutura de tópicos">
          <a:extLst>
            <a:ext uri="{FF2B5EF4-FFF2-40B4-BE49-F238E27FC236}">
              <a16:creationId xmlns:a16="http://schemas.microsoft.com/office/drawing/2014/main" id="{D4BAC8C6-4A11-870E-CCD1-2F68EFE6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9355667" y="1583267"/>
          <a:ext cx="643466" cy="643466"/>
        </a:xfrm>
        <a:prstGeom prst="rect">
          <a:avLst/>
        </a:prstGeom>
      </xdr:spPr>
    </xdr:pic>
    <xdr:clientData/>
  </xdr:twoCellAnchor>
  <xdr:oneCellAnchor>
    <xdr:from>
      <xdr:col>13</xdr:col>
      <xdr:colOff>431800</xdr:colOff>
      <xdr:row>9</xdr:row>
      <xdr:rowOff>101599</xdr:rowOff>
    </xdr:from>
    <xdr:ext cx="1400961" cy="433452"/>
    <xdr:sp macro="" textlink="">
      <xdr:nvSpPr>
        <xdr:cNvPr id="58" name="CaixaDeTexto 57">
          <a:extLst>
            <a:ext uri="{FF2B5EF4-FFF2-40B4-BE49-F238E27FC236}">
              <a16:creationId xmlns:a16="http://schemas.microsoft.com/office/drawing/2014/main" id="{4D4504B5-5FED-4122-877D-4A35E3963355}"/>
            </a:ext>
          </a:extLst>
        </xdr:cNvPr>
        <xdr:cNvSpPr txBox="1"/>
      </xdr:nvSpPr>
      <xdr:spPr>
        <a:xfrm>
          <a:off x="10303933" y="1701799"/>
          <a:ext cx="1400961" cy="433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2000" kern="1200">
              <a:solidFill>
                <a:schemeClr val="bg1">
                  <a:lumMod val="9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Economias</a:t>
          </a:r>
        </a:p>
      </xdr:txBody>
    </xdr:sp>
    <xdr:clientData/>
  </xdr:oneCellAnchor>
  <xdr:twoCellAnchor>
    <xdr:from>
      <xdr:col>12</xdr:col>
      <xdr:colOff>423333</xdr:colOff>
      <xdr:row>14</xdr:row>
      <xdr:rowOff>118533</xdr:rowOff>
    </xdr:from>
    <xdr:to>
      <xdr:col>19</xdr:col>
      <xdr:colOff>313267</xdr:colOff>
      <xdr:row>30</xdr:row>
      <xdr:rowOff>16933</xdr:rowOff>
    </xdr:to>
    <xdr:graphicFrame macro="">
      <xdr:nvGraphicFramePr>
        <xdr:cNvPr id="60" name="Gráfico 59">
          <a:extLst>
            <a:ext uri="{FF2B5EF4-FFF2-40B4-BE49-F238E27FC236}">
              <a16:creationId xmlns:a16="http://schemas.microsoft.com/office/drawing/2014/main" id="{2D2BE005-0DE8-4F1D-9155-71E13D0762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io Barranco" refreshedDate="45670.453811458334" createdVersion="8" refreshedVersion="8" minRefreshableVersion="3" recordCount="44" xr:uid="{E9B170BB-5F74-44DA-B98E-8416DD8212BD}">
  <cacheSource type="worksheet">
    <worksheetSource name="tblFinanceiro"/>
  </cacheSource>
  <cacheFields count="8">
    <cacheField name="Data" numFmtId="14">
      <sharedItems containsSemiMixedTypes="0" containsNonDate="0" containsDate="1" containsString="0" minDate="2024-08-01T00:00:00" maxDate="2024-11-01T00:00:00"/>
    </cacheField>
    <cacheField name="Mês" numFmtId="1">
      <sharedItems containsSemiMixedTypes="0" containsString="0" containsNumber="1" containsInteger="1" minValue="8" maxValue="10" count="3">
        <n v="8"/>
        <n v="9"/>
        <n v="10"/>
      </sharedItems>
    </cacheField>
    <cacheField name="Tipo" numFmtId="0">
      <sharedItems count="2">
        <s v="ENTRADA"/>
        <s v="SAÍDA"/>
      </sharedItems>
    </cacheField>
    <cacheField name="Categoria" numFmtId="0">
      <sharedItems count="19">
        <s v="Renda Fixa"/>
        <s v="Alimentação"/>
        <s v="Transporte"/>
        <s v="Lazer"/>
        <s v="Saúde"/>
        <s v="Educação"/>
        <s v="Vestuário"/>
        <s v="Investimentos"/>
        <s v="Serviços"/>
        <s v="Eletrônicos"/>
        <s v="Utilidades Domésticas"/>
        <s v="Presentes"/>
        <s v="Beleza"/>
        <s v="Pet Care"/>
        <s v="Viagem"/>
        <s v="Gastronomia"/>
        <s v="Freelance"/>
        <s v="Utilidades Dom."/>
        <s v="Venda de ativos"/>
      </sharedItems>
    </cacheField>
    <cacheField name="Descrição" numFmtId="0">
      <sharedItems/>
    </cacheField>
    <cacheField name="Valor" numFmtId="166">
      <sharedItems containsSemiMixedTypes="0" containsString="0" containsNumber="1" containsInteger="1" minValue="80" maxValue="5000"/>
    </cacheField>
    <cacheField name="Operação Bancária" numFmtId="0">
      <sharedItems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 pivotCacheId="149272191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d v="2024-08-01T00:00:00"/>
    <x v="0"/>
    <x v="0"/>
    <x v="0"/>
    <s v="Salário mensal"/>
    <n v="5000"/>
    <s v="Transferência"/>
    <s v="Recebido"/>
  </r>
  <r>
    <d v="2024-08-01T00:00:00"/>
    <x v="0"/>
    <x v="1"/>
    <x v="1"/>
    <s v="Compras no supermercado"/>
    <n v="550"/>
    <s v="Débito Automático"/>
    <s v="Pendente"/>
  </r>
  <r>
    <d v="2024-08-03T00:00:00"/>
    <x v="0"/>
    <x v="1"/>
    <x v="2"/>
    <s v="Gasolina"/>
    <n v="300"/>
    <s v="Cartão de Crédito"/>
    <s v="Pago"/>
  </r>
  <r>
    <d v="2024-08-05T00:00:00"/>
    <x v="0"/>
    <x v="1"/>
    <x v="3"/>
    <s v="Cinema"/>
    <n v="120"/>
    <s v="Cartão de Crédito"/>
    <s v="Pago"/>
  </r>
  <r>
    <d v="2024-08-07T00:00:00"/>
    <x v="0"/>
    <x v="1"/>
    <x v="4"/>
    <s v="Consulta odontológica"/>
    <n v="250"/>
    <s v="Transferência"/>
    <s v="Pago"/>
  </r>
  <r>
    <d v="2024-08-10T00:00:00"/>
    <x v="0"/>
    <x v="1"/>
    <x v="5"/>
    <s v="Material escolar"/>
    <n v="400"/>
    <s v="Débito Automático"/>
    <s v="Pendente"/>
  </r>
  <r>
    <d v="2024-08-12T00:00:00"/>
    <x v="0"/>
    <x v="1"/>
    <x v="6"/>
    <s v="Compra de roupas de inverno"/>
    <n v="600"/>
    <s v="Cartão de Crédito"/>
    <s v="Pendente"/>
  </r>
  <r>
    <d v="2024-08-15T00:00:00"/>
    <x v="0"/>
    <x v="0"/>
    <x v="7"/>
    <s v="Dividendos de ações"/>
    <n v="800"/>
    <s v="Transferência"/>
    <s v="Recebido"/>
  </r>
  <r>
    <d v="2024-08-15T00:00:00"/>
    <x v="0"/>
    <x v="1"/>
    <x v="8"/>
    <s v="Limpeza do apartamento"/>
    <n v="150"/>
    <s v="Transferência"/>
    <s v="Pago"/>
  </r>
  <r>
    <d v="2024-08-18T00:00:00"/>
    <x v="0"/>
    <x v="1"/>
    <x v="9"/>
    <s v="Compra de novo celular"/>
    <n v="1200"/>
    <s v="Cartão de Crédito"/>
    <s v="Pendente"/>
  </r>
  <r>
    <d v="2024-08-20T00:00:00"/>
    <x v="0"/>
    <x v="1"/>
    <x v="10"/>
    <s v="Reparos domésticos"/>
    <n v="450"/>
    <s v="Débito Automático"/>
    <s v="Pago"/>
  </r>
  <r>
    <d v="2024-08-22T00:00:00"/>
    <x v="0"/>
    <x v="1"/>
    <x v="11"/>
    <s v="Presente de aniversário"/>
    <n v="180"/>
    <s v="Transferência"/>
    <s v="Pendente"/>
  </r>
  <r>
    <d v="2024-08-24T00:00:00"/>
    <x v="0"/>
    <x v="1"/>
    <x v="12"/>
    <s v="Corte de cabelo e barba"/>
    <n v="80"/>
    <s v="Débito Automático"/>
    <s v="Pago"/>
  </r>
  <r>
    <d v="2024-08-28T00:00:00"/>
    <x v="0"/>
    <x v="1"/>
    <x v="13"/>
    <s v="Ração e petiscos para o cachorro"/>
    <n v="200"/>
    <s v="Débito Automático"/>
    <s v="Pago"/>
  </r>
  <r>
    <d v="2024-08-30T00:00:00"/>
    <x v="0"/>
    <x v="1"/>
    <x v="14"/>
    <s v="Reserva de pousada"/>
    <n v="750"/>
    <s v="Transferência"/>
    <s v="Pendente"/>
  </r>
  <r>
    <d v="2024-08-31T00:00:00"/>
    <x v="0"/>
    <x v="1"/>
    <x v="15"/>
    <s v="Jantar em restaurante francês"/>
    <n v="350"/>
    <s v="Cartão de Crédito"/>
    <s v="Pago"/>
  </r>
  <r>
    <d v="2024-09-01T00:00:00"/>
    <x v="1"/>
    <x v="0"/>
    <x v="0"/>
    <s v="Salário mensal"/>
    <n v="5000"/>
    <s v="Transferência"/>
    <s v="Recebido"/>
  </r>
  <r>
    <d v="2024-09-02T00:00:00"/>
    <x v="1"/>
    <x v="1"/>
    <x v="1"/>
    <s v="Compras no supermercado"/>
    <n v="450"/>
    <s v="Débito Automático"/>
    <s v="Pendente"/>
  </r>
  <r>
    <d v="2024-09-05T00:00:00"/>
    <x v="1"/>
    <x v="1"/>
    <x v="2"/>
    <s v="Gasolina"/>
    <n v="300"/>
    <s v="Débito Automático"/>
    <s v="Pago"/>
  </r>
  <r>
    <d v="2024-09-08T00:00:00"/>
    <x v="1"/>
    <x v="1"/>
    <x v="3"/>
    <s v="Cinema e jantar"/>
    <n v="200"/>
    <s v="Transferência"/>
    <s v="Pago"/>
  </r>
  <r>
    <d v="2024-09-11T00:00:00"/>
    <x v="1"/>
    <x v="1"/>
    <x v="4"/>
    <s v="Plano de saúde"/>
    <n v="600"/>
    <s v="Débito Automático"/>
    <s v="Pendente"/>
  </r>
  <r>
    <d v="2024-09-14T00:00:00"/>
    <x v="1"/>
    <x v="1"/>
    <x v="5"/>
    <s v="Material escolar"/>
    <n v="350"/>
    <s v="Transferência"/>
    <s v="Pago"/>
  </r>
  <r>
    <d v="2024-09-17T00:00:00"/>
    <x v="1"/>
    <x v="1"/>
    <x v="6"/>
    <s v="Compra de roupas"/>
    <n v="500"/>
    <s v="Cartão de Crédito"/>
    <s v="Pendente"/>
  </r>
  <r>
    <d v="2024-09-20T00:00:00"/>
    <x v="1"/>
    <x v="0"/>
    <x v="16"/>
    <s v="Pagamento por projeto freelancer"/>
    <n v="1200"/>
    <s v="Transferência"/>
    <s v="Recebido"/>
  </r>
  <r>
    <d v="2024-09-20T00:00:00"/>
    <x v="1"/>
    <x v="1"/>
    <x v="8"/>
    <s v="Manutenção do veículo"/>
    <n v="800"/>
    <s v="Transferência"/>
    <s v="Pago"/>
  </r>
  <r>
    <d v="2024-09-23T00:00:00"/>
    <x v="1"/>
    <x v="1"/>
    <x v="9"/>
    <s v="Compra de novo smartphone"/>
    <n v="1500"/>
    <s v="Cartão de Crédito"/>
    <s v="Pendente"/>
  </r>
  <r>
    <d v="2024-09-26T00:00:00"/>
    <x v="1"/>
    <x v="1"/>
    <x v="17"/>
    <s v="Conta de energia elétrica"/>
    <n v="250"/>
    <s v="Débito Automático"/>
    <s v="Pago"/>
  </r>
  <r>
    <d v="2024-09-29T00:00:00"/>
    <x v="1"/>
    <x v="1"/>
    <x v="11"/>
    <s v="Aniversário da mãe"/>
    <n v="400"/>
    <s v="Cartão de Crédito"/>
    <s v="Pendente"/>
  </r>
  <r>
    <d v="2024-10-01T00:00:00"/>
    <x v="2"/>
    <x v="0"/>
    <x v="0"/>
    <s v="Salário mensal"/>
    <n v="5000"/>
    <s v="Transferência"/>
    <s v="Recebido"/>
  </r>
  <r>
    <d v="2024-10-01T00:00:00"/>
    <x v="2"/>
    <x v="1"/>
    <x v="1"/>
    <s v="Compras no supermercado"/>
    <n v="600"/>
    <s v="Débito Automático"/>
    <s v="Pendente"/>
  </r>
  <r>
    <d v="2024-10-03T00:00:00"/>
    <x v="2"/>
    <x v="1"/>
    <x v="2"/>
    <s v="Recarga de cartão de transporte"/>
    <n v="200"/>
    <s v="Cartão de Crédito"/>
    <s v="Pago"/>
  </r>
  <r>
    <d v="2024-10-05T00:00:00"/>
    <x v="2"/>
    <x v="1"/>
    <x v="3"/>
    <s v="Ingressos para teatro"/>
    <n v="180"/>
    <s v="Transferência"/>
    <s v="Pago"/>
  </r>
  <r>
    <d v="2024-10-08T00:00:00"/>
    <x v="2"/>
    <x v="1"/>
    <x v="4"/>
    <s v="Remédios de farmácia"/>
    <n v="120"/>
    <s v="Débito Automático"/>
    <s v="Pendente"/>
  </r>
  <r>
    <d v="2024-10-10T00:00:00"/>
    <x v="2"/>
    <x v="1"/>
    <x v="5"/>
    <s v="Cursos online"/>
    <n v="350"/>
    <s v="Cartão de Crédito"/>
    <s v="Pendente"/>
  </r>
  <r>
    <d v="2024-10-13T00:00:00"/>
    <x v="2"/>
    <x v="1"/>
    <x v="6"/>
    <s v="Roupas de primavera"/>
    <n v="400"/>
    <s v="Transferência"/>
    <s v="Pago"/>
  </r>
  <r>
    <d v="2024-10-15T00:00:00"/>
    <x v="2"/>
    <x v="1"/>
    <x v="8"/>
    <s v="Manutenção da casa"/>
    <n v="450"/>
    <s v="Débito Automático"/>
    <s v="Pago"/>
  </r>
  <r>
    <d v="2024-10-18T00:00:00"/>
    <x v="2"/>
    <x v="0"/>
    <x v="18"/>
    <s v="Venda de equipamentos eletrônicos"/>
    <n v="1500"/>
    <s v="Transferência"/>
    <s v="Recebido"/>
  </r>
  <r>
    <d v="2024-10-18T00:00:00"/>
    <x v="2"/>
    <x v="1"/>
    <x v="9"/>
    <s v="Manutenção do computador"/>
    <n v="300"/>
    <s v="Cartão de Crédito"/>
    <s v="Pendente"/>
  </r>
  <r>
    <d v="2024-10-20T00:00:00"/>
    <x v="2"/>
    <x v="1"/>
    <x v="10"/>
    <s v="Troca de móveis da cozinha"/>
    <n v="800"/>
    <s v="Transferência"/>
    <s v="Pago"/>
  </r>
  <r>
    <d v="2024-10-22T00:00:00"/>
    <x v="2"/>
    <x v="1"/>
    <x v="11"/>
    <s v="Presentes para casamento"/>
    <n v="250"/>
    <s v="Cartão de Crédito"/>
    <s v="Pendente"/>
  </r>
  <r>
    <d v="2024-10-24T00:00:00"/>
    <x v="2"/>
    <x v="1"/>
    <x v="13"/>
    <s v="Veterinário para o pet"/>
    <n v="150"/>
    <s v="Débito Automático"/>
    <s v="Pago"/>
  </r>
  <r>
    <d v="2024-10-26T00:00:00"/>
    <x v="2"/>
    <x v="1"/>
    <x v="12"/>
    <s v="Salão de beleza"/>
    <n v="250"/>
    <s v="Transferência"/>
    <s v="Pendente"/>
  </r>
  <r>
    <d v="2024-10-30T00:00:00"/>
    <x v="2"/>
    <x v="1"/>
    <x v="15"/>
    <s v="Jantar em restaurante italiano"/>
    <n v="220"/>
    <s v="Transferência"/>
    <s v="Pendente"/>
  </r>
  <r>
    <d v="2024-10-31T00:00:00"/>
    <x v="2"/>
    <x v="1"/>
    <x v="14"/>
    <s v="Reserva de hotel para fim de semana"/>
    <n v="500"/>
    <s v="Cartão de Crédito"/>
    <s v="Penden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813A92-7984-496F-AC6C-58C5804A2F6A}" name="tblDinamicaSaida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F3:G19" firstHeaderRow="1" firstDataRow="1" firstDataCol="1" rowPageCount="1" colPageCount="1"/>
  <pivotFields count="8">
    <pivotField numFmtId="14" showAll="0"/>
    <pivotField numFmtId="1" showAll="0">
      <items count="4">
        <item x="0"/>
        <item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>
      <items count="20">
        <item x="1"/>
        <item x="12"/>
        <item x="5"/>
        <item x="9"/>
        <item x="16"/>
        <item x="15"/>
        <item x="7"/>
        <item x="3"/>
        <item x="13"/>
        <item x="11"/>
        <item x="0"/>
        <item x="4"/>
        <item x="8"/>
        <item x="2"/>
        <item x="17"/>
        <item x="10"/>
        <item x="18"/>
        <item x="6"/>
        <item x="14"/>
        <item t="default"/>
      </items>
    </pivotField>
    <pivotField showAll="0"/>
    <pivotField dataField="1" numFmtId="166" showAll="0"/>
    <pivotField showAll="0"/>
    <pivotField showAll="0"/>
  </pivotFields>
  <rowFields count="1">
    <field x="3"/>
  </rowFields>
  <rowItems count="16">
    <i>
      <x/>
    </i>
    <i>
      <x v="1"/>
    </i>
    <i>
      <x v="2"/>
    </i>
    <i>
      <x v="3"/>
    </i>
    <i>
      <x v="5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7"/>
    </i>
    <i>
      <x v="18"/>
    </i>
    <i t="grand">
      <x/>
    </i>
  </rowItems>
  <colItems count="1">
    <i/>
  </colItems>
  <pageFields count="1">
    <pageField fld="2" item="1" hier="-1"/>
  </pageFields>
  <dataFields count="1">
    <dataField name="Soma de Valor" fld="5" baseField="0" baseItem="0" numFmtId="166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0E2895-AA95-4827-9720-49DF4421E85F}" name="tblDinamicaEntrada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C3:D8" firstHeaderRow="1" firstDataRow="1" firstDataCol="1" rowPageCount="1" colPageCount="1"/>
  <pivotFields count="8">
    <pivotField numFmtId="14" showAll="0"/>
    <pivotField numFmtId="1" showAll="0">
      <items count="4">
        <item x="0"/>
        <item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>
      <items count="20">
        <item x="1"/>
        <item x="12"/>
        <item x="5"/>
        <item x="9"/>
        <item x="16"/>
        <item x="15"/>
        <item x="7"/>
        <item x="3"/>
        <item x="13"/>
        <item x="11"/>
        <item x="0"/>
        <item x="4"/>
        <item x="8"/>
        <item x="2"/>
        <item x="17"/>
        <item x="10"/>
        <item x="18"/>
        <item x="6"/>
        <item x="14"/>
        <item t="default"/>
      </items>
    </pivotField>
    <pivotField showAll="0"/>
    <pivotField dataField="1" numFmtId="166" showAll="0"/>
    <pivotField showAll="0"/>
    <pivotField showAll="0"/>
  </pivotFields>
  <rowFields count="1">
    <field x="3"/>
  </rowFields>
  <rowItems count="5">
    <i>
      <x v="4"/>
    </i>
    <i>
      <x v="6"/>
    </i>
    <i>
      <x v="10"/>
    </i>
    <i>
      <x v="16"/>
    </i>
    <i t="grand">
      <x/>
    </i>
  </rowItems>
  <colItems count="1">
    <i/>
  </colItems>
  <pageFields count="1">
    <pageField fld="2" item="0" hier="-1"/>
  </pageFields>
  <dataFields count="1">
    <dataField name="Soma de Valor" fld="5" baseField="0" baseItem="0" numFmtId="166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1" xr10:uid="{AE8A4407-54F3-433A-A223-9909C9F0ADCF}" sourceName="Mês">
  <pivotTables>
    <pivotTable tabId="2" name="tblDinamicaEntrada"/>
    <pivotTable tabId="2" name="tblDinamicaSaida"/>
  </pivotTables>
  <data>
    <tabular pivotCacheId="1492721916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1" xr10:uid="{835D78EA-7070-4F80-8AE4-E3CD8DBCF965}" cache="SegmentaçãodeDados_Mês1" caption="Mês" style="SlicerStyleDark3Personalizado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4E9B39-C2B2-42FF-B7B9-7B99BA694425}" name="tblFinanceiro" displayName="tblFinanceiro" ref="A1:H45" totalsRowShown="0" dataDxfId="7">
  <autoFilter ref="A1:H45" xr:uid="{7E4E9B39-C2B2-42FF-B7B9-7B99BA694425}">
    <filterColumn colId="1">
      <filters>
        <filter val="9"/>
      </filters>
    </filterColumn>
  </autoFilter>
  <tableColumns count="8">
    <tableColumn id="1" xr3:uid="{FD456B9E-5873-4B23-96F9-882EB407075D}" name="Data" dataDxfId="6"/>
    <tableColumn id="8" xr3:uid="{BF1EA640-24EB-4151-B7A9-0BA71615528E}" name="Mês" dataDxfId="4">
      <calculatedColumnFormula>MONTH(tblFinanceiro[[#This Row],[Data]])</calculatedColumnFormula>
    </tableColumn>
    <tableColumn id="2" xr3:uid="{BADD5A3C-C780-4EA1-BD1E-FE859B4CCDDA}" name="Tipo" dataDxfId="5"/>
    <tableColumn id="3" xr3:uid="{68B6AA66-563C-4799-B3A9-C65B0A0160BC}" name="Categoria" dataDxfId="12"/>
    <tableColumn id="4" xr3:uid="{9C4A698E-EAE9-4E87-8C81-63C952CAEF8B}" name="Descrição" dataDxfId="11"/>
    <tableColumn id="5" xr3:uid="{CC71F83E-4BE9-4E38-81D7-10E2DC2D566D}" name="Valor" dataDxfId="10" dataCellStyle="Moeda 2"/>
    <tableColumn id="6" xr3:uid="{751865A8-0763-4050-B721-DF92614DF34B}" name="Operação Bancária" dataDxfId="9"/>
    <tableColumn id="7" xr3:uid="{96AABE7D-A2E3-466A-A0AD-3AD1BA8AE12F}" name="Status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10E8E5-7DA1-4BA8-BB4E-68E4F42412C1}" name="Tabela2" displayName="Tabela2" ref="C5:D18" totalsRowShown="0">
  <autoFilter ref="C5:D18" xr:uid="{0410E8E5-7DA1-4BA8-BB4E-68E4F42412C1}"/>
  <tableColumns count="2">
    <tableColumn id="1" xr3:uid="{D217A41F-9889-465D-8B54-5456ED75C4B6}" name="Data de Lançamento" dataDxfId="1"/>
    <tableColumn id="2" xr3:uid="{15F9C65C-8508-4BE9-B435-CA7B5CB67152}" name="Depósito Reservado" dataDxfId="0" dataCellStyle="Moed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2FAB5-8228-42D6-92E9-86CA1D763E99}">
  <sheetPr>
    <tabColor theme="4" tint="0.59999389629810485"/>
  </sheetPr>
  <dimension ref="A1:H45"/>
  <sheetViews>
    <sheetView workbookViewId="0"/>
  </sheetViews>
  <sheetFormatPr defaultRowHeight="17.399999999999999" customHeight="1" x14ac:dyDescent="0.25"/>
  <cols>
    <col min="1" max="1" width="18.5" customWidth="1"/>
    <col min="2" max="2" width="18.5" style="1" customWidth="1"/>
    <col min="3" max="3" width="14.296875" customWidth="1"/>
    <col min="4" max="4" width="17" customWidth="1"/>
    <col min="5" max="5" width="30.59765625" customWidth="1"/>
    <col min="6" max="6" width="16.19921875" customWidth="1"/>
    <col min="7" max="7" width="23.59765625" customWidth="1"/>
    <col min="8" max="8" width="12.3984375" customWidth="1"/>
  </cols>
  <sheetData>
    <row r="1" spans="1:8" ht="17.399999999999999" customHeight="1" x14ac:dyDescent="0.25">
      <c r="A1" t="s">
        <v>0</v>
      </c>
      <c r="B1" s="1" t="s">
        <v>75</v>
      </c>
      <c r="C1" t="s">
        <v>1</v>
      </c>
      <c r="D1" t="s">
        <v>69</v>
      </c>
      <c r="E1" t="s">
        <v>2</v>
      </c>
      <c r="F1" t="s">
        <v>3</v>
      </c>
      <c r="G1" t="s">
        <v>70</v>
      </c>
      <c r="H1" t="s">
        <v>71</v>
      </c>
    </row>
    <row r="2" spans="1:8" ht="17.399999999999999" hidden="1" customHeight="1" x14ac:dyDescent="0.25">
      <c r="A2" s="2">
        <v>45505</v>
      </c>
      <c r="B2" s="8">
        <f>MONTH(tblFinanceiro[[#This Row],[Data]])</f>
        <v>8</v>
      </c>
      <c r="C2" s="3" t="s">
        <v>4</v>
      </c>
      <c r="D2" s="3" t="s">
        <v>5</v>
      </c>
      <c r="E2" s="3" t="s">
        <v>6</v>
      </c>
      <c r="F2" s="4">
        <v>5000</v>
      </c>
      <c r="G2" s="3" t="s">
        <v>7</v>
      </c>
      <c r="H2" s="3" t="s">
        <v>8</v>
      </c>
    </row>
    <row r="3" spans="1:8" ht="17.399999999999999" hidden="1" customHeight="1" x14ac:dyDescent="0.25">
      <c r="A3" s="2">
        <v>45505</v>
      </c>
      <c r="B3" s="8">
        <f>MONTH(tblFinanceiro[[#This Row],[Data]])</f>
        <v>8</v>
      </c>
      <c r="C3" s="3" t="s">
        <v>9</v>
      </c>
      <c r="D3" s="3" t="s">
        <v>10</v>
      </c>
      <c r="E3" s="3" t="s">
        <v>11</v>
      </c>
      <c r="F3" s="4">
        <v>550</v>
      </c>
      <c r="G3" s="3" t="s">
        <v>12</v>
      </c>
      <c r="H3" s="3" t="s">
        <v>13</v>
      </c>
    </row>
    <row r="4" spans="1:8" ht="17.399999999999999" hidden="1" customHeight="1" x14ac:dyDescent="0.25">
      <c r="A4" s="2">
        <v>45507</v>
      </c>
      <c r="B4" s="8">
        <f>MONTH(tblFinanceiro[[#This Row],[Data]])</f>
        <v>8</v>
      </c>
      <c r="C4" s="3" t="s">
        <v>9</v>
      </c>
      <c r="D4" s="3" t="s">
        <v>14</v>
      </c>
      <c r="E4" s="3" t="s">
        <v>15</v>
      </c>
      <c r="F4" s="4">
        <v>300</v>
      </c>
      <c r="G4" s="3" t="s">
        <v>16</v>
      </c>
      <c r="H4" s="3" t="s">
        <v>17</v>
      </c>
    </row>
    <row r="5" spans="1:8" ht="17.399999999999999" hidden="1" customHeight="1" x14ac:dyDescent="0.25">
      <c r="A5" s="2">
        <v>45509</v>
      </c>
      <c r="B5" s="8">
        <f>MONTH(tblFinanceiro[[#This Row],[Data]])</f>
        <v>8</v>
      </c>
      <c r="C5" s="3" t="s">
        <v>9</v>
      </c>
      <c r="D5" s="3" t="s">
        <v>18</v>
      </c>
      <c r="E5" s="3" t="s">
        <v>19</v>
      </c>
      <c r="F5" s="4">
        <v>120</v>
      </c>
      <c r="G5" s="3" t="s">
        <v>16</v>
      </c>
      <c r="H5" s="3" t="s">
        <v>17</v>
      </c>
    </row>
    <row r="6" spans="1:8" ht="17.399999999999999" hidden="1" customHeight="1" x14ac:dyDescent="0.25">
      <c r="A6" s="2">
        <v>45511</v>
      </c>
      <c r="B6" s="8">
        <f>MONTH(tblFinanceiro[[#This Row],[Data]])</f>
        <v>8</v>
      </c>
      <c r="C6" s="3" t="s">
        <v>9</v>
      </c>
      <c r="D6" s="3" t="s">
        <v>20</v>
      </c>
      <c r="E6" s="3" t="s">
        <v>21</v>
      </c>
      <c r="F6" s="4">
        <v>250</v>
      </c>
      <c r="G6" s="3" t="s">
        <v>7</v>
      </c>
      <c r="H6" s="3" t="s">
        <v>17</v>
      </c>
    </row>
    <row r="7" spans="1:8" ht="17.399999999999999" hidden="1" customHeight="1" x14ac:dyDescent="0.25">
      <c r="A7" s="2">
        <v>45514</v>
      </c>
      <c r="B7" s="8">
        <f>MONTH(tblFinanceiro[[#This Row],[Data]])</f>
        <v>8</v>
      </c>
      <c r="C7" s="3" t="s">
        <v>9</v>
      </c>
      <c r="D7" s="3" t="s">
        <v>22</v>
      </c>
      <c r="E7" s="3" t="s">
        <v>23</v>
      </c>
      <c r="F7" s="4">
        <v>400</v>
      </c>
      <c r="G7" s="3" t="s">
        <v>12</v>
      </c>
      <c r="H7" s="3" t="s">
        <v>13</v>
      </c>
    </row>
    <row r="8" spans="1:8" ht="17.399999999999999" hidden="1" customHeight="1" x14ac:dyDescent="0.25">
      <c r="A8" s="2">
        <v>45516</v>
      </c>
      <c r="B8" s="8">
        <f>MONTH(tblFinanceiro[[#This Row],[Data]])</f>
        <v>8</v>
      </c>
      <c r="C8" s="3" t="s">
        <v>9</v>
      </c>
      <c r="D8" s="3" t="s">
        <v>24</v>
      </c>
      <c r="E8" s="3" t="s">
        <v>25</v>
      </c>
      <c r="F8" s="4">
        <v>600</v>
      </c>
      <c r="G8" s="3" t="s">
        <v>16</v>
      </c>
      <c r="H8" s="3" t="s">
        <v>13</v>
      </c>
    </row>
    <row r="9" spans="1:8" ht="17.399999999999999" hidden="1" customHeight="1" x14ac:dyDescent="0.25">
      <c r="A9" s="2">
        <v>45519</v>
      </c>
      <c r="B9" s="8">
        <f>MONTH(tblFinanceiro[[#This Row],[Data]])</f>
        <v>8</v>
      </c>
      <c r="C9" s="3" t="s">
        <v>4</v>
      </c>
      <c r="D9" s="3" t="s">
        <v>26</v>
      </c>
      <c r="E9" s="3" t="s">
        <v>27</v>
      </c>
      <c r="F9" s="4">
        <v>800</v>
      </c>
      <c r="G9" s="3" t="s">
        <v>7</v>
      </c>
      <c r="H9" s="3" t="s">
        <v>8</v>
      </c>
    </row>
    <row r="10" spans="1:8" ht="17.399999999999999" hidden="1" customHeight="1" x14ac:dyDescent="0.25">
      <c r="A10" s="2">
        <v>45519</v>
      </c>
      <c r="B10" s="8">
        <f>MONTH(tblFinanceiro[[#This Row],[Data]])</f>
        <v>8</v>
      </c>
      <c r="C10" s="3" t="s">
        <v>9</v>
      </c>
      <c r="D10" s="3" t="s">
        <v>28</v>
      </c>
      <c r="E10" s="3" t="s">
        <v>29</v>
      </c>
      <c r="F10" s="4">
        <v>150</v>
      </c>
      <c r="G10" s="3" t="s">
        <v>7</v>
      </c>
      <c r="H10" s="3" t="s">
        <v>17</v>
      </c>
    </row>
    <row r="11" spans="1:8" ht="17.399999999999999" hidden="1" customHeight="1" x14ac:dyDescent="0.25">
      <c r="A11" s="2">
        <v>45522</v>
      </c>
      <c r="B11" s="8">
        <f>MONTH(tblFinanceiro[[#This Row],[Data]])</f>
        <v>8</v>
      </c>
      <c r="C11" s="3" t="s">
        <v>9</v>
      </c>
      <c r="D11" s="3" t="s">
        <v>30</v>
      </c>
      <c r="E11" s="3" t="s">
        <v>31</v>
      </c>
      <c r="F11" s="4">
        <v>1200</v>
      </c>
      <c r="G11" s="3" t="s">
        <v>16</v>
      </c>
      <c r="H11" s="3" t="s">
        <v>13</v>
      </c>
    </row>
    <row r="12" spans="1:8" ht="17.399999999999999" hidden="1" customHeight="1" x14ac:dyDescent="0.25">
      <c r="A12" s="2">
        <v>45524</v>
      </c>
      <c r="B12" s="8">
        <f>MONTH(tblFinanceiro[[#This Row],[Data]])</f>
        <v>8</v>
      </c>
      <c r="C12" s="3" t="s">
        <v>9</v>
      </c>
      <c r="D12" s="3" t="s">
        <v>32</v>
      </c>
      <c r="E12" s="3" t="s">
        <v>33</v>
      </c>
      <c r="F12" s="4">
        <v>450</v>
      </c>
      <c r="G12" s="3" t="s">
        <v>12</v>
      </c>
      <c r="H12" s="3" t="s">
        <v>17</v>
      </c>
    </row>
    <row r="13" spans="1:8" ht="17.399999999999999" hidden="1" customHeight="1" x14ac:dyDescent="0.25">
      <c r="A13" s="2">
        <v>45526</v>
      </c>
      <c r="B13" s="8">
        <f>MONTH(tblFinanceiro[[#This Row],[Data]])</f>
        <v>8</v>
      </c>
      <c r="C13" s="3" t="s">
        <v>9</v>
      </c>
      <c r="D13" s="3" t="s">
        <v>34</v>
      </c>
      <c r="E13" s="3" t="s">
        <v>35</v>
      </c>
      <c r="F13" s="4">
        <v>180</v>
      </c>
      <c r="G13" s="3" t="s">
        <v>7</v>
      </c>
      <c r="H13" s="3" t="s">
        <v>13</v>
      </c>
    </row>
    <row r="14" spans="1:8" ht="17.399999999999999" hidden="1" customHeight="1" x14ac:dyDescent="0.25">
      <c r="A14" s="2">
        <v>45528</v>
      </c>
      <c r="B14" s="8">
        <f>MONTH(tblFinanceiro[[#This Row],[Data]])</f>
        <v>8</v>
      </c>
      <c r="C14" s="3" t="s">
        <v>9</v>
      </c>
      <c r="D14" s="3" t="s">
        <v>36</v>
      </c>
      <c r="E14" s="3" t="s">
        <v>37</v>
      </c>
      <c r="F14" s="4">
        <v>80</v>
      </c>
      <c r="G14" s="3" t="s">
        <v>12</v>
      </c>
      <c r="H14" s="3" t="s">
        <v>17</v>
      </c>
    </row>
    <row r="15" spans="1:8" ht="17.399999999999999" hidden="1" customHeight="1" x14ac:dyDescent="0.25">
      <c r="A15" s="2">
        <v>45532</v>
      </c>
      <c r="B15" s="8">
        <f>MONTH(tblFinanceiro[[#This Row],[Data]])</f>
        <v>8</v>
      </c>
      <c r="C15" s="3" t="s">
        <v>9</v>
      </c>
      <c r="D15" s="3" t="s">
        <v>38</v>
      </c>
      <c r="E15" s="3" t="s">
        <v>39</v>
      </c>
      <c r="F15" s="4">
        <v>200</v>
      </c>
      <c r="G15" s="3" t="s">
        <v>12</v>
      </c>
      <c r="H15" s="3" t="s">
        <v>17</v>
      </c>
    </row>
    <row r="16" spans="1:8" ht="17.399999999999999" hidden="1" customHeight="1" x14ac:dyDescent="0.25">
      <c r="A16" s="2">
        <v>45534</v>
      </c>
      <c r="B16" s="8">
        <f>MONTH(tblFinanceiro[[#This Row],[Data]])</f>
        <v>8</v>
      </c>
      <c r="C16" s="3" t="s">
        <v>9</v>
      </c>
      <c r="D16" s="3" t="s">
        <v>40</v>
      </c>
      <c r="E16" s="3" t="s">
        <v>41</v>
      </c>
      <c r="F16" s="4">
        <v>750</v>
      </c>
      <c r="G16" s="3" t="s">
        <v>7</v>
      </c>
      <c r="H16" s="3" t="s">
        <v>13</v>
      </c>
    </row>
    <row r="17" spans="1:8" ht="17.399999999999999" hidden="1" customHeight="1" x14ac:dyDescent="0.25">
      <c r="A17" s="2">
        <v>45535</v>
      </c>
      <c r="B17" s="8">
        <f>MONTH(tblFinanceiro[[#This Row],[Data]])</f>
        <v>8</v>
      </c>
      <c r="C17" s="3" t="s">
        <v>9</v>
      </c>
      <c r="D17" s="3" t="s">
        <v>42</v>
      </c>
      <c r="E17" s="3" t="s">
        <v>43</v>
      </c>
      <c r="F17" s="4">
        <v>350</v>
      </c>
      <c r="G17" s="3" t="s">
        <v>16</v>
      </c>
      <c r="H17" s="3" t="s">
        <v>17</v>
      </c>
    </row>
    <row r="18" spans="1:8" ht="17.399999999999999" customHeight="1" x14ac:dyDescent="0.25">
      <c r="A18" s="2">
        <v>45536</v>
      </c>
      <c r="B18" s="8">
        <f>MONTH(tblFinanceiro[[#This Row],[Data]])</f>
        <v>9</v>
      </c>
      <c r="C18" s="3" t="s">
        <v>4</v>
      </c>
      <c r="D18" s="3" t="s">
        <v>5</v>
      </c>
      <c r="E18" s="3" t="s">
        <v>6</v>
      </c>
      <c r="F18" s="4">
        <v>5000</v>
      </c>
      <c r="G18" s="3" t="s">
        <v>7</v>
      </c>
      <c r="H18" s="3" t="s">
        <v>8</v>
      </c>
    </row>
    <row r="19" spans="1:8" ht="17.399999999999999" customHeight="1" x14ac:dyDescent="0.25">
      <c r="A19" s="2">
        <v>45537</v>
      </c>
      <c r="B19" s="8">
        <f>MONTH(tblFinanceiro[[#This Row],[Data]])</f>
        <v>9</v>
      </c>
      <c r="C19" s="3" t="s">
        <v>9</v>
      </c>
      <c r="D19" s="3" t="s">
        <v>10</v>
      </c>
      <c r="E19" s="4" t="s">
        <v>11</v>
      </c>
      <c r="F19" s="4">
        <v>450</v>
      </c>
      <c r="G19" s="3" t="s">
        <v>12</v>
      </c>
      <c r="H19" s="3" t="s">
        <v>13</v>
      </c>
    </row>
    <row r="20" spans="1:8" ht="17.399999999999999" customHeight="1" x14ac:dyDescent="0.25">
      <c r="A20" s="2">
        <v>45540</v>
      </c>
      <c r="B20" s="8">
        <f>MONTH(tblFinanceiro[[#This Row],[Data]])</f>
        <v>9</v>
      </c>
      <c r="C20" s="3" t="s">
        <v>9</v>
      </c>
      <c r="D20" s="3" t="s">
        <v>14</v>
      </c>
      <c r="E20" s="4" t="s">
        <v>15</v>
      </c>
      <c r="F20" s="4">
        <v>300</v>
      </c>
      <c r="G20" s="3" t="s">
        <v>12</v>
      </c>
      <c r="H20" s="3" t="s">
        <v>17</v>
      </c>
    </row>
    <row r="21" spans="1:8" ht="17.399999999999999" customHeight="1" x14ac:dyDescent="0.25">
      <c r="A21" s="2">
        <v>45543</v>
      </c>
      <c r="B21" s="8">
        <f>MONTH(tblFinanceiro[[#This Row],[Data]])</f>
        <v>9</v>
      </c>
      <c r="C21" s="3" t="s">
        <v>9</v>
      </c>
      <c r="D21" s="3" t="s">
        <v>18</v>
      </c>
      <c r="E21" s="4" t="s">
        <v>44</v>
      </c>
      <c r="F21" s="4">
        <v>200</v>
      </c>
      <c r="G21" s="3" t="s">
        <v>7</v>
      </c>
      <c r="H21" s="3" t="s">
        <v>17</v>
      </c>
    </row>
    <row r="22" spans="1:8" ht="17.399999999999999" customHeight="1" x14ac:dyDescent="0.25">
      <c r="A22" s="2">
        <v>45546</v>
      </c>
      <c r="B22" s="8">
        <f>MONTH(tblFinanceiro[[#This Row],[Data]])</f>
        <v>9</v>
      </c>
      <c r="C22" s="3" t="s">
        <v>9</v>
      </c>
      <c r="D22" s="3" t="s">
        <v>20</v>
      </c>
      <c r="E22" s="4" t="s">
        <v>45</v>
      </c>
      <c r="F22" s="4">
        <v>600</v>
      </c>
      <c r="G22" s="3" t="s">
        <v>12</v>
      </c>
      <c r="H22" s="3" t="s">
        <v>13</v>
      </c>
    </row>
    <row r="23" spans="1:8" ht="17.399999999999999" customHeight="1" x14ac:dyDescent="0.25">
      <c r="A23" s="2">
        <v>45549</v>
      </c>
      <c r="B23" s="8">
        <f>MONTH(tblFinanceiro[[#This Row],[Data]])</f>
        <v>9</v>
      </c>
      <c r="C23" s="3" t="s">
        <v>9</v>
      </c>
      <c r="D23" s="3" t="s">
        <v>22</v>
      </c>
      <c r="E23" s="4" t="s">
        <v>23</v>
      </c>
      <c r="F23" s="4">
        <v>350</v>
      </c>
      <c r="G23" s="3" t="s">
        <v>7</v>
      </c>
      <c r="H23" s="3" t="s">
        <v>17</v>
      </c>
    </row>
    <row r="24" spans="1:8" ht="17.399999999999999" customHeight="1" x14ac:dyDescent="0.25">
      <c r="A24" s="2">
        <v>45552</v>
      </c>
      <c r="B24" s="8">
        <f>MONTH(tblFinanceiro[[#This Row],[Data]])</f>
        <v>9</v>
      </c>
      <c r="C24" s="3" t="s">
        <v>9</v>
      </c>
      <c r="D24" s="3" t="s">
        <v>24</v>
      </c>
      <c r="E24" s="4" t="s">
        <v>46</v>
      </c>
      <c r="F24" s="4">
        <v>500</v>
      </c>
      <c r="G24" s="3" t="s">
        <v>16</v>
      </c>
      <c r="H24" s="3" t="s">
        <v>13</v>
      </c>
    </row>
    <row r="25" spans="1:8" ht="17.399999999999999" customHeight="1" x14ac:dyDescent="0.25">
      <c r="A25" s="2">
        <v>45555</v>
      </c>
      <c r="B25" s="8">
        <f>MONTH(tblFinanceiro[[#This Row],[Data]])</f>
        <v>9</v>
      </c>
      <c r="C25" s="3" t="s">
        <v>4</v>
      </c>
      <c r="D25" s="3" t="s">
        <v>47</v>
      </c>
      <c r="E25" s="3" t="s">
        <v>48</v>
      </c>
      <c r="F25" s="4">
        <v>1200</v>
      </c>
      <c r="G25" s="3" t="s">
        <v>7</v>
      </c>
      <c r="H25" s="3" t="s">
        <v>8</v>
      </c>
    </row>
    <row r="26" spans="1:8" ht="17.399999999999999" customHeight="1" x14ac:dyDescent="0.25">
      <c r="A26" s="2">
        <v>45555</v>
      </c>
      <c r="B26" s="8">
        <f>MONTH(tblFinanceiro[[#This Row],[Data]])</f>
        <v>9</v>
      </c>
      <c r="C26" s="3" t="s">
        <v>9</v>
      </c>
      <c r="D26" s="3" t="s">
        <v>28</v>
      </c>
      <c r="E26" s="4" t="s">
        <v>49</v>
      </c>
      <c r="F26" s="4">
        <v>800</v>
      </c>
      <c r="G26" s="3" t="s">
        <v>7</v>
      </c>
      <c r="H26" s="3" t="s">
        <v>17</v>
      </c>
    </row>
    <row r="27" spans="1:8" ht="17.399999999999999" customHeight="1" x14ac:dyDescent="0.25">
      <c r="A27" s="2">
        <v>45558</v>
      </c>
      <c r="B27" s="8">
        <f>MONTH(tblFinanceiro[[#This Row],[Data]])</f>
        <v>9</v>
      </c>
      <c r="C27" s="3" t="s">
        <v>9</v>
      </c>
      <c r="D27" s="3" t="s">
        <v>30</v>
      </c>
      <c r="E27" s="4" t="s">
        <v>50</v>
      </c>
      <c r="F27" s="4">
        <v>1500</v>
      </c>
      <c r="G27" s="3" t="s">
        <v>16</v>
      </c>
      <c r="H27" s="3" t="s">
        <v>13</v>
      </c>
    </row>
    <row r="28" spans="1:8" ht="17.399999999999999" customHeight="1" x14ac:dyDescent="0.25">
      <c r="A28" s="2">
        <v>45561</v>
      </c>
      <c r="B28" s="8">
        <f>MONTH(tblFinanceiro[[#This Row],[Data]])</f>
        <v>9</v>
      </c>
      <c r="C28" s="3" t="s">
        <v>9</v>
      </c>
      <c r="D28" s="3" t="s">
        <v>51</v>
      </c>
      <c r="E28" s="4" t="s">
        <v>52</v>
      </c>
      <c r="F28" s="4">
        <v>250</v>
      </c>
      <c r="G28" s="3" t="s">
        <v>12</v>
      </c>
      <c r="H28" s="3" t="s">
        <v>17</v>
      </c>
    </row>
    <row r="29" spans="1:8" ht="17.399999999999999" customHeight="1" x14ac:dyDescent="0.25">
      <c r="A29" s="2">
        <v>45564</v>
      </c>
      <c r="B29" s="8">
        <f>MONTH(tblFinanceiro[[#This Row],[Data]])</f>
        <v>9</v>
      </c>
      <c r="C29" s="3" t="s">
        <v>9</v>
      </c>
      <c r="D29" s="3" t="s">
        <v>34</v>
      </c>
      <c r="E29" s="4" t="s">
        <v>53</v>
      </c>
      <c r="F29" s="4">
        <v>400</v>
      </c>
      <c r="G29" s="3" t="s">
        <v>16</v>
      </c>
      <c r="H29" s="3" t="s">
        <v>13</v>
      </c>
    </row>
    <row r="30" spans="1:8" ht="17.399999999999999" hidden="1" customHeight="1" x14ac:dyDescent="0.25">
      <c r="A30" s="2">
        <v>45566</v>
      </c>
      <c r="B30" s="8">
        <f>MONTH(tblFinanceiro[[#This Row],[Data]])</f>
        <v>10</v>
      </c>
      <c r="C30" s="3" t="s">
        <v>4</v>
      </c>
      <c r="D30" s="3" t="s">
        <v>5</v>
      </c>
      <c r="E30" s="3" t="s">
        <v>6</v>
      </c>
      <c r="F30" s="4">
        <v>5000</v>
      </c>
      <c r="G30" s="3" t="s">
        <v>7</v>
      </c>
      <c r="H30" s="3" t="s">
        <v>8</v>
      </c>
    </row>
    <row r="31" spans="1:8" ht="17.399999999999999" hidden="1" customHeight="1" x14ac:dyDescent="0.25">
      <c r="A31" s="2">
        <v>45566</v>
      </c>
      <c r="B31" s="8">
        <f>MONTH(tblFinanceiro[[#This Row],[Data]])</f>
        <v>10</v>
      </c>
      <c r="C31" s="3" t="s">
        <v>9</v>
      </c>
      <c r="D31" s="3" t="s">
        <v>10</v>
      </c>
      <c r="E31" s="3" t="s">
        <v>11</v>
      </c>
      <c r="F31" s="4">
        <v>600</v>
      </c>
      <c r="G31" s="3" t="s">
        <v>12</v>
      </c>
      <c r="H31" s="3" t="s">
        <v>13</v>
      </c>
    </row>
    <row r="32" spans="1:8" ht="17.399999999999999" hidden="1" customHeight="1" x14ac:dyDescent="0.25">
      <c r="A32" s="2">
        <v>45568</v>
      </c>
      <c r="B32" s="8">
        <f>MONTH(tblFinanceiro[[#This Row],[Data]])</f>
        <v>10</v>
      </c>
      <c r="C32" s="3" t="s">
        <v>9</v>
      </c>
      <c r="D32" s="3" t="s">
        <v>14</v>
      </c>
      <c r="E32" s="3" t="s">
        <v>54</v>
      </c>
      <c r="F32" s="4">
        <v>200</v>
      </c>
      <c r="G32" s="3" t="s">
        <v>16</v>
      </c>
      <c r="H32" s="3" t="s">
        <v>17</v>
      </c>
    </row>
    <row r="33" spans="1:8" ht="17.399999999999999" hidden="1" customHeight="1" x14ac:dyDescent="0.25">
      <c r="A33" s="2">
        <v>45570</v>
      </c>
      <c r="B33" s="8">
        <f>MONTH(tblFinanceiro[[#This Row],[Data]])</f>
        <v>10</v>
      </c>
      <c r="C33" s="3" t="s">
        <v>9</v>
      </c>
      <c r="D33" s="3" t="s">
        <v>18</v>
      </c>
      <c r="E33" s="3" t="s">
        <v>55</v>
      </c>
      <c r="F33" s="4">
        <v>180</v>
      </c>
      <c r="G33" s="3" t="s">
        <v>7</v>
      </c>
      <c r="H33" s="3" t="s">
        <v>17</v>
      </c>
    </row>
    <row r="34" spans="1:8" ht="17.399999999999999" hidden="1" customHeight="1" x14ac:dyDescent="0.25">
      <c r="A34" s="2">
        <v>45573</v>
      </c>
      <c r="B34" s="8">
        <f>MONTH(tblFinanceiro[[#This Row],[Data]])</f>
        <v>10</v>
      </c>
      <c r="C34" s="3" t="s">
        <v>9</v>
      </c>
      <c r="D34" s="3" t="s">
        <v>20</v>
      </c>
      <c r="E34" s="3" t="s">
        <v>56</v>
      </c>
      <c r="F34" s="4">
        <v>120</v>
      </c>
      <c r="G34" s="3" t="s">
        <v>12</v>
      </c>
      <c r="H34" s="3" t="s">
        <v>13</v>
      </c>
    </row>
    <row r="35" spans="1:8" ht="17.399999999999999" hidden="1" customHeight="1" x14ac:dyDescent="0.25">
      <c r="A35" s="2">
        <v>45575</v>
      </c>
      <c r="B35" s="8">
        <f>MONTH(tblFinanceiro[[#This Row],[Data]])</f>
        <v>10</v>
      </c>
      <c r="C35" s="3" t="s">
        <v>9</v>
      </c>
      <c r="D35" s="3" t="s">
        <v>22</v>
      </c>
      <c r="E35" s="3" t="s">
        <v>57</v>
      </c>
      <c r="F35" s="4">
        <v>350</v>
      </c>
      <c r="G35" s="3" t="s">
        <v>16</v>
      </c>
      <c r="H35" s="3" t="s">
        <v>13</v>
      </c>
    </row>
    <row r="36" spans="1:8" ht="17.399999999999999" hidden="1" customHeight="1" x14ac:dyDescent="0.25">
      <c r="A36" s="2">
        <v>45578</v>
      </c>
      <c r="B36" s="8">
        <f>MONTH(tblFinanceiro[[#This Row],[Data]])</f>
        <v>10</v>
      </c>
      <c r="C36" s="3" t="s">
        <v>9</v>
      </c>
      <c r="D36" s="3" t="s">
        <v>24</v>
      </c>
      <c r="E36" s="3" t="s">
        <v>58</v>
      </c>
      <c r="F36" s="4">
        <v>400</v>
      </c>
      <c r="G36" s="3" t="s">
        <v>7</v>
      </c>
      <c r="H36" s="3" t="s">
        <v>17</v>
      </c>
    </row>
    <row r="37" spans="1:8" ht="17.399999999999999" hidden="1" customHeight="1" x14ac:dyDescent="0.25">
      <c r="A37" s="2">
        <v>45580</v>
      </c>
      <c r="B37" s="8">
        <f>MONTH(tblFinanceiro[[#This Row],[Data]])</f>
        <v>10</v>
      </c>
      <c r="C37" s="3" t="s">
        <v>9</v>
      </c>
      <c r="D37" s="3" t="s">
        <v>28</v>
      </c>
      <c r="E37" s="3" t="s">
        <v>59</v>
      </c>
      <c r="F37" s="4">
        <v>450</v>
      </c>
      <c r="G37" s="3" t="s">
        <v>12</v>
      </c>
      <c r="H37" s="3" t="s">
        <v>17</v>
      </c>
    </row>
    <row r="38" spans="1:8" ht="17.399999999999999" hidden="1" customHeight="1" x14ac:dyDescent="0.25">
      <c r="A38" s="2">
        <v>45583</v>
      </c>
      <c r="B38" s="8">
        <f>MONTH(tblFinanceiro[[#This Row],[Data]])</f>
        <v>10</v>
      </c>
      <c r="C38" s="3" t="s">
        <v>4</v>
      </c>
      <c r="D38" s="3" t="s">
        <v>60</v>
      </c>
      <c r="E38" s="3" t="s">
        <v>61</v>
      </c>
      <c r="F38" s="4">
        <v>1500</v>
      </c>
      <c r="G38" s="3" t="s">
        <v>7</v>
      </c>
      <c r="H38" s="3" t="s">
        <v>8</v>
      </c>
    </row>
    <row r="39" spans="1:8" ht="17.399999999999999" hidden="1" customHeight="1" x14ac:dyDescent="0.25">
      <c r="A39" s="2">
        <v>45583</v>
      </c>
      <c r="B39" s="8">
        <f>MONTH(tblFinanceiro[[#This Row],[Data]])</f>
        <v>10</v>
      </c>
      <c r="C39" s="3" t="s">
        <v>9</v>
      </c>
      <c r="D39" s="3" t="s">
        <v>30</v>
      </c>
      <c r="E39" s="3" t="s">
        <v>62</v>
      </c>
      <c r="F39" s="4">
        <v>300</v>
      </c>
      <c r="G39" s="3" t="s">
        <v>16</v>
      </c>
      <c r="H39" s="3" t="s">
        <v>13</v>
      </c>
    </row>
    <row r="40" spans="1:8" ht="17.399999999999999" hidden="1" customHeight="1" x14ac:dyDescent="0.25">
      <c r="A40" s="2">
        <v>45585</v>
      </c>
      <c r="B40" s="8">
        <f>MONTH(tblFinanceiro[[#This Row],[Data]])</f>
        <v>10</v>
      </c>
      <c r="C40" s="3" t="s">
        <v>9</v>
      </c>
      <c r="D40" s="3" t="s">
        <v>32</v>
      </c>
      <c r="E40" s="3" t="s">
        <v>63</v>
      </c>
      <c r="F40" s="4">
        <v>800</v>
      </c>
      <c r="G40" s="3" t="s">
        <v>7</v>
      </c>
      <c r="H40" s="3" t="s">
        <v>17</v>
      </c>
    </row>
    <row r="41" spans="1:8" ht="17.399999999999999" hidden="1" customHeight="1" x14ac:dyDescent="0.25">
      <c r="A41" s="2">
        <v>45587</v>
      </c>
      <c r="B41" s="8">
        <f>MONTH(tblFinanceiro[[#This Row],[Data]])</f>
        <v>10</v>
      </c>
      <c r="C41" s="3" t="s">
        <v>9</v>
      </c>
      <c r="D41" s="3" t="s">
        <v>34</v>
      </c>
      <c r="E41" s="3" t="s">
        <v>64</v>
      </c>
      <c r="F41" s="4">
        <v>250</v>
      </c>
      <c r="G41" s="3" t="s">
        <v>16</v>
      </c>
      <c r="H41" s="3" t="s">
        <v>13</v>
      </c>
    </row>
    <row r="42" spans="1:8" ht="17.399999999999999" hidden="1" customHeight="1" x14ac:dyDescent="0.25">
      <c r="A42" s="2">
        <v>45589</v>
      </c>
      <c r="B42" s="8">
        <f>MONTH(tblFinanceiro[[#This Row],[Data]])</f>
        <v>10</v>
      </c>
      <c r="C42" s="3" t="s">
        <v>9</v>
      </c>
      <c r="D42" s="3" t="s">
        <v>38</v>
      </c>
      <c r="E42" s="3" t="s">
        <v>65</v>
      </c>
      <c r="F42" s="4">
        <v>150</v>
      </c>
      <c r="G42" s="3" t="s">
        <v>12</v>
      </c>
      <c r="H42" s="3" t="s">
        <v>17</v>
      </c>
    </row>
    <row r="43" spans="1:8" ht="17.399999999999999" hidden="1" customHeight="1" x14ac:dyDescent="0.25">
      <c r="A43" s="2">
        <v>45591</v>
      </c>
      <c r="B43" s="8">
        <f>MONTH(tblFinanceiro[[#This Row],[Data]])</f>
        <v>10</v>
      </c>
      <c r="C43" s="3" t="s">
        <v>9</v>
      </c>
      <c r="D43" s="3" t="s">
        <v>36</v>
      </c>
      <c r="E43" s="3" t="s">
        <v>66</v>
      </c>
      <c r="F43" s="4">
        <v>250</v>
      </c>
      <c r="G43" s="3" t="s">
        <v>7</v>
      </c>
      <c r="H43" s="3" t="s">
        <v>13</v>
      </c>
    </row>
    <row r="44" spans="1:8" ht="17.399999999999999" hidden="1" customHeight="1" x14ac:dyDescent="0.25">
      <c r="A44" s="2">
        <v>45595</v>
      </c>
      <c r="B44" s="8">
        <f>MONTH(tblFinanceiro[[#This Row],[Data]])</f>
        <v>10</v>
      </c>
      <c r="C44" s="3" t="s">
        <v>9</v>
      </c>
      <c r="D44" s="3" t="s">
        <v>42</v>
      </c>
      <c r="E44" s="3" t="s">
        <v>67</v>
      </c>
      <c r="F44" s="4">
        <v>220</v>
      </c>
      <c r="G44" s="3" t="s">
        <v>7</v>
      </c>
      <c r="H44" s="3" t="s">
        <v>13</v>
      </c>
    </row>
    <row r="45" spans="1:8" ht="17.399999999999999" hidden="1" customHeight="1" x14ac:dyDescent="0.25">
      <c r="A45" s="2">
        <v>45596</v>
      </c>
      <c r="B45" s="8">
        <f>MONTH(tblFinanceiro[[#This Row],[Data]])</f>
        <v>10</v>
      </c>
      <c r="C45" s="3" t="s">
        <v>9</v>
      </c>
      <c r="D45" s="3" t="s">
        <v>40</v>
      </c>
      <c r="E45" s="3" t="s">
        <v>68</v>
      </c>
      <c r="F45" s="4">
        <v>500</v>
      </c>
      <c r="G45" s="3" t="s">
        <v>16</v>
      </c>
      <c r="H45" s="3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4D8A7-C6A5-486D-8BCB-F7B3180DCD80}">
  <sheetPr>
    <tabColor theme="4" tint="0.39997558519241921"/>
  </sheetPr>
  <dimension ref="C1:G19"/>
  <sheetViews>
    <sheetView workbookViewId="0">
      <selection activeCell="C52" sqref="C52"/>
    </sheetView>
  </sheetViews>
  <sheetFormatPr defaultRowHeight="13.8" x14ac:dyDescent="0.25"/>
  <cols>
    <col min="3" max="3" width="15.09765625" bestFit="1" customWidth="1"/>
    <col min="4" max="4" width="13" bestFit="1" customWidth="1"/>
    <col min="6" max="6" width="17.19921875" bestFit="1" customWidth="1"/>
    <col min="7" max="7" width="11.8984375" bestFit="1" customWidth="1"/>
  </cols>
  <sheetData>
    <row r="1" spans="3:7" x14ac:dyDescent="0.25">
      <c r="C1" s="5" t="s">
        <v>1</v>
      </c>
      <c r="D1" s="1" t="s">
        <v>4</v>
      </c>
      <c r="F1" s="5" t="s">
        <v>1</v>
      </c>
      <c r="G1" s="1" t="s">
        <v>9</v>
      </c>
    </row>
    <row r="3" spans="3:7" x14ac:dyDescent="0.25">
      <c r="C3" s="5" t="s">
        <v>72</v>
      </c>
      <c r="D3" t="s">
        <v>74</v>
      </c>
      <c r="F3" s="5" t="s">
        <v>72</v>
      </c>
      <c r="G3" t="s">
        <v>74</v>
      </c>
    </row>
    <row r="4" spans="3:7" x14ac:dyDescent="0.25">
      <c r="C4" s="6" t="s">
        <v>47</v>
      </c>
      <c r="D4" s="7">
        <v>1200</v>
      </c>
      <c r="F4" s="6" t="s">
        <v>10</v>
      </c>
      <c r="G4" s="7">
        <v>1600</v>
      </c>
    </row>
    <row r="5" spans="3:7" x14ac:dyDescent="0.25">
      <c r="C5" s="6" t="s">
        <v>26</v>
      </c>
      <c r="D5" s="7">
        <v>800</v>
      </c>
      <c r="F5" s="6" t="s">
        <v>36</v>
      </c>
      <c r="G5" s="7">
        <v>330</v>
      </c>
    </row>
    <row r="6" spans="3:7" x14ac:dyDescent="0.25">
      <c r="C6" s="6" t="s">
        <v>5</v>
      </c>
      <c r="D6" s="7">
        <v>15000</v>
      </c>
      <c r="F6" s="6" t="s">
        <v>22</v>
      </c>
      <c r="G6" s="7">
        <v>1100</v>
      </c>
    </row>
    <row r="7" spans="3:7" x14ac:dyDescent="0.25">
      <c r="C7" s="6" t="s">
        <v>60</v>
      </c>
      <c r="D7" s="7">
        <v>1500</v>
      </c>
      <c r="F7" s="6" t="s">
        <v>30</v>
      </c>
      <c r="G7" s="7">
        <v>3000</v>
      </c>
    </row>
    <row r="8" spans="3:7" x14ac:dyDescent="0.25">
      <c r="C8" s="6" t="s">
        <v>73</v>
      </c>
      <c r="D8" s="7">
        <v>18500</v>
      </c>
      <c r="F8" s="6" t="s">
        <v>42</v>
      </c>
      <c r="G8" s="7">
        <v>570</v>
      </c>
    </row>
    <row r="9" spans="3:7" x14ac:dyDescent="0.25">
      <c r="F9" s="6" t="s">
        <v>18</v>
      </c>
      <c r="G9" s="7">
        <v>500</v>
      </c>
    </row>
    <row r="10" spans="3:7" x14ac:dyDescent="0.25">
      <c r="F10" s="6" t="s">
        <v>38</v>
      </c>
      <c r="G10" s="7">
        <v>350</v>
      </c>
    </row>
    <row r="11" spans="3:7" x14ac:dyDescent="0.25">
      <c r="F11" s="6" t="s">
        <v>34</v>
      </c>
      <c r="G11" s="7">
        <v>830</v>
      </c>
    </row>
    <row r="12" spans="3:7" x14ac:dyDescent="0.25">
      <c r="F12" s="6" t="s">
        <v>20</v>
      </c>
      <c r="G12" s="7">
        <v>970</v>
      </c>
    </row>
    <row r="13" spans="3:7" x14ac:dyDescent="0.25">
      <c r="F13" s="6" t="s">
        <v>28</v>
      </c>
      <c r="G13" s="7">
        <v>1400</v>
      </c>
    </row>
    <row r="14" spans="3:7" x14ac:dyDescent="0.25">
      <c r="F14" s="6" t="s">
        <v>14</v>
      </c>
      <c r="G14" s="7">
        <v>800</v>
      </c>
    </row>
    <row r="15" spans="3:7" x14ac:dyDescent="0.25">
      <c r="F15" s="6" t="s">
        <v>51</v>
      </c>
      <c r="G15" s="7">
        <v>250</v>
      </c>
    </row>
    <row r="16" spans="3:7" x14ac:dyDescent="0.25">
      <c r="F16" s="6" t="s">
        <v>32</v>
      </c>
      <c r="G16" s="7">
        <v>1250</v>
      </c>
    </row>
    <row r="17" spans="6:7" x14ac:dyDescent="0.25">
      <c r="F17" s="6" t="s">
        <v>24</v>
      </c>
      <c r="G17" s="7">
        <v>1500</v>
      </c>
    </row>
    <row r="18" spans="6:7" x14ac:dyDescent="0.25">
      <c r="F18" s="6" t="s">
        <v>40</v>
      </c>
      <c r="G18" s="7">
        <v>1250</v>
      </c>
    </row>
    <row r="19" spans="6:7" x14ac:dyDescent="0.25">
      <c r="F19" s="6" t="s">
        <v>73</v>
      </c>
      <c r="G19" s="7">
        <v>15700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A475-2F56-4B44-BB08-1027C6E573AB}">
  <sheetPr>
    <tabColor theme="7" tint="0.59999389629810485"/>
  </sheetPr>
  <dimension ref="C2:D18"/>
  <sheetViews>
    <sheetView workbookViewId="0">
      <selection activeCell="C52" sqref="C52"/>
    </sheetView>
  </sheetViews>
  <sheetFormatPr defaultRowHeight="13.8" x14ac:dyDescent="0.25"/>
  <cols>
    <col min="3" max="3" width="17.3984375" customWidth="1"/>
    <col min="4" max="4" width="20.296875" customWidth="1"/>
  </cols>
  <sheetData>
    <row r="2" spans="3:4" ht="14.4" x14ac:dyDescent="0.3">
      <c r="C2" s="14" t="s">
        <v>78</v>
      </c>
      <c r="D2" s="13">
        <f>SUM(Tabela2[Depósito Reservado])</f>
        <v>3661</v>
      </c>
    </row>
    <row r="3" spans="3:4" ht="14.4" x14ac:dyDescent="0.3">
      <c r="C3" s="14" t="s">
        <v>79</v>
      </c>
      <c r="D3" s="12">
        <v>20000</v>
      </c>
    </row>
    <row r="5" spans="3:4" x14ac:dyDescent="0.25">
      <c r="C5" t="s">
        <v>76</v>
      </c>
      <c r="D5" t="s">
        <v>77</v>
      </c>
    </row>
    <row r="6" spans="3:4" x14ac:dyDescent="0.25">
      <c r="C6" s="11">
        <v>45670</v>
      </c>
      <c r="D6" s="12">
        <v>50</v>
      </c>
    </row>
    <row r="7" spans="3:4" x14ac:dyDescent="0.25">
      <c r="C7" s="11">
        <v>45664</v>
      </c>
      <c r="D7" s="12">
        <v>137</v>
      </c>
    </row>
    <row r="8" spans="3:4" x14ac:dyDescent="0.25">
      <c r="C8" s="11">
        <v>45658</v>
      </c>
      <c r="D8" s="12">
        <v>310</v>
      </c>
    </row>
    <row r="9" spans="3:4" x14ac:dyDescent="0.25">
      <c r="C9" s="11">
        <v>45652</v>
      </c>
      <c r="D9" s="12">
        <v>410</v>
      </c>
    </row>
    <row r="10" spans="3:4" x14ac:dyDescent="0.25">
      <c r="C10" s="11">
        <v>45646</v>
      </c>
      <c r="D10" s="12">
        <v>257</v>
      </c>
    </row>
    <row r="11" spans="3:4" x14ac:dyDescent="0.25">
      <c r="C11" s="11">
        <v>45640</v>
      </c>
      <c r="D11" s="12">
        <v>100</v>
      </c>
    </row>
    <row r="12" spans="3:4" x14ac:dyDescent="0.25">
      <c r="C12" s="11">
        <v>45634</v>
      </c>
      <c r="D12" s="12">
        <v>265</v>
      </c>
    </row>
    <row r="13" spans="3:4" x14ac:dyDescent="0.25">
      <c r="C13" s="11">
        <v>45628</v>
      </c>
      <c r="D13" s="12">
        <v>333</v>
      </c>
    </row>
    <row r="14" spans="3:4" x14ac:dyDescent="0.25">
      <c r="C14" s="11">
        <v>45622</v>
      </c>
      <c r="D14" s="12">
        <v>436</v>
      </c>
    </row>
    <row r="15" spans="3:4" x14ac:dyDescent="0.25">
      <c r="C15" s="11">
        <v>45616</v>
      </c>
      <c r="D15" s="12">
        <v>97</v>
      </c>
    </row>
    <row r="16" spans="3:4" x14ac:dyDescent="0.25">
      <c r="C16" s="11">
        <v>45610</v>
      </c>
      <c r="D16" s="12">
        <v>366</v>
      </c>
    </row>
    <row r="17" spans="3:4" x14ac:dyDescent="0.25">
      <c r="C17" s="11">
        <v>45604</v>
      </c>
      <c r="D17" s="12">
        <v>407</v>
      </c>
    </row>
    <row r="18" spans="3:4" x14ac:dyDescent="0.25">
      <c r="C18" s="11">
        <v>45598</v>
      </c>
      <c r="D18" s="12">
        <v>493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D354F-388E-41DE-8046-7D7F5192E581}">
  <sheetPr>
    <tabColor theme="4" tint="-0.249977111117893"/>
  </sheetPr>
  <dimension ref="A1:Z99"/>
  <sheetViews>
    <sheetView showGridLines="0" showRowColHeaders="0" tabSelected="1" topLeftCell="A22" zoomScale="80" zoomScaleNormal="80" workbookViewId="0">
      <selection activeCell="W34" sqref="W34"/>
    </sheetView>
  </sheetViews>
  <sheetFormatPr defaultColWidth="0" defaultRowHeight="13.8" zeroHeight="1" x14ac:dyDescent="0.25"/>
  <cols>
    <col min="1" max="1" width="24.19921875" style="9" customWidth="1"/>
    <col min="2" max="26" width="8.796875" style="10" customWidth="1"/>
    <col min="27" max="16384" width="8.796875" hidden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Data</vt:lpstr>
      <vt:lpstr>Controller</vt:lpstr>
      <vt:lpstr>Caixinha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Barranco</dc:creator>
  <cp:lastModifiedBy>Marcio Barranco</cp:lastModifiedBy>
  <dcterms:created xsi:type="dcterms:W3CDTF">2025-01-13T12:57:02Z</dcterms:created>
  <dcterms:modified xsi:type="dcterms:W3CDTF">2025-01-13T15:00:26Z</dcterms:modified>
</cp:coreProperties>
</file>